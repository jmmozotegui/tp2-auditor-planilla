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" sheetId="1" state="visible" r:id="rId3"/>
    <sheet name="Instructivo" sheetId="2" state="visible" r:id="rId4"/>
  </sheets>
  <definedNames>
    <definedName function="false" hidden="true" localSheetId="0" name="_xlnm._FilterDatabase" vbProcedure="false">Planilla!$A$1:$AD$181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<sst xmlns="http://schemas.openxmlformats.org/spreadsheetml/2006/main" count="2861" uniqueCount="331">
  <si>
    <t xml:space="preserve">Fecha</t>
  </si>
  <si>
    <t xml:space="preserve">Turno</t>
  </si>
  <si>
    <t xml:space="preserve">Operario</t>
  </si>
  <si>
    <t xml:space="preserve">Supervisor</t>
  </si>
  <si>
    <t xml:space="preserve">Maquina_Linea</t>
  </si>
  <si>
    <t xml:space="preserve">Sector</t>
  </si>
  <si>
    <t xml:space="preserve">OF_Lote</t>
  </si>
  <si>
    <t xml:space="preserve">Estado_Lote</t>
  </si>
  <si>
    <t xml:space="preserve">Fecha_Cierre_Lote</t>
  </si>
  <si>
    <t xml:space="preserve">Cod_Producto</t>
  </si>
  <si>
    <t xml:space="preserve">Desc_Producto</t>
  </si>
  <si>
    <t xml:space="preserve">Hora_Inicio</t>
  </si>
  <si>
    <t xml:space="preserve">Hora_Fin</t>
  </si>
  <si>
    <t xml:space="preserve">Tiempo_Total_min</t>
  </si>
  <si>
    <t xml:space="preserve">Tiempo_Setup_min</t>
  </si>
  <si>
    <t xml:space="preserve">Tiempo_Parada_min</t>
  </si>
  <si>
    <t xml:space="preserve">Motivo_Parada</t>
  </si>
  <si>
    <t xml:space="preserve">Tipo_Parada</t>
  </si>
  <si>
    <t xml:space="preserve">Tiempo_Productivo_min</t>
  </si>
  <si>
    <t xml:space="preserve">Cant_Producida</t>
  </si>
  <si>
    <t xml:space="preserve">Cant_Rechazada</t>
  </si>
  <si>
    <t xml:space="preserve">Unidad_Medida</t>
  </si>
  <si>
    <t xml:space="preserve">Velocidad_Estandar_uh</t>
  </si>
  <si>
    <t xml:space="preserve">Meta_Produccion</t>
  </si>
  <si>
    <t xml:space="preserve">Cumplimiento_Meta_pct</t>
  </si>
  <si>
    <t xml:space="preserve">Disponibilidad_pct</t>
  </si>
  <si>
    <t xml:space="preserve">Rendimiento_pct</t>
  </si>
  <si>
    <t xml:space="preserve">Calidad_pct</t>
  </si>
  <si>
    <t xml:space="preserve">OEE_pct</t>
  </si>
  <si>
    <t xml:space="preserve">Observaciones</t>
  </si>
  <si>
    <t xml:space="preserve">2026-08-03</t>
  </si>
  <si>
    <t xml:space="preserve">Mañana</t>
  </si>
  <si>
    <t xml:space="preserve">OP-106</t>
  </si>
  <si>
    <t xml:space="preserve">SUP-01</t>
  </si>
  <si>
    <t xml:space="preserve">EXT-01</t>
  </si>
  <si>
    <t xml:space="preserve">Extrusion</t>
  </si>
  <si>
    <t xml:space="preserve">OF-4101</t>
  </si>
  <si>
    <t xml:space="preserve">Cerrado</t>
  </si>
  <si>
    <t xml:space="preserve">2026-08-06</t>
  </si>
  <si>
    <t xml:space="preserve">P-2075</t>
  </si>
  <si>
    <t xml:space="preserve">Perfil flexible 75mm</t>
  </si>
  <si>
    <t xml:space="preserve">06:00</t>
  </si>
  <si>
    <t xml:space="preserve">14:00</t>
  </si>
  <si>
    <t xml:space="preserve">Mantenimiento programado</t>
  </si>
  <si>
    <t xml:space="preserve">Planificada</t>
  </si>
  <si>
    <t xml:space="preserve">metros</t>
  </si>
  <si>
    <t xml:space="preserve">EXT-02</t>
  </si>
  <si>
    <t xml:space="preserve">OF-4102</t>
  </si>
  <si>
    <t xml:space="preserve">2026-08-05</t>
  </si>
  <si>
    <t xml:space="preserve">falla electrica</t>
  </si>
  <si>
    <t xml:space="preserve">No Planificada</t>
  </si>
  <si>
    <t xml:space="preserve">TRZ-01</t>
  </si>
  <si>
    <t xml:space="preserve">Trenzado</t>
  </si>
  <si>
    <t xml:space="preserve">OF-4103</t>
  </si>
  <si>
    <t xml:space="preserve">2026-08-04</t>
  </si>
  <si>
    <t xml:space="preserve">P-1140</t>
  </si>
  <si>
    <t xml:space="preserve">Perfil rigido 40mm</t>
  </si>
  <si>
    <t xml:space="preserve">Falla mecanica</t>
  </si>
  <si>
    <t xml:space="preserve">Tarde</t>
  </si>
  <si>
    <t xml:space="preserve">OP-104</t>
  </si>
  <si>
    <t xml:space="preserve">SUP-02</t>
  </si>
  <si>
    <t xml:space="preserve">OF-4104</t>
  </si>
  <si>
    <t xml:space="preserve">Abierto</t>
  </si>
  <si>
    <t xml:space="preserve">22:00</t>
  </si>
  <si>
    <t xml:space="preserve">OF-4105</t>
  </si>
  <si>
    <t xml:space="preserve">P-3310</t>
  </si>
  <si>
    <t xml:space="preserve">Cordon trenzado 10mm</t>
  </si>
  <si>
    <t xml:space="preserve">OP-105</t>
  </si>
  <si>
    <t xml:space="preserve">OF-4106</t>
  </si>
  <si>
    <t xml:space="preserve">Noche</t>
  </si>
  <si>
    <t xml:space="preserve">OP-101</t>
  </si>
  <si>
    <t xml:space="preserve">SUP-03</t>
  </si>
  <si>
    <t xml:space="preserve">OF-4107</t>
  </si>
  <si>
    <t xml:space="preserve">OF-4108</t>
  </si>
  <si>
    <t xml:space="preserve">Ajuste de calidad</t>
  </si>
  <si>
    <t xml:space="preserve">OF-4109</t>
  </si>
  <si>
    <t xml:space="preserve">OP-102</t>
  </si>
  <si>
    <t xml:space="preserve">OF-4110</t>
  </si>
  <si>
    <t xml:space="preserve">OF-4111</t>
  </si>
  <si>
    <t xml:space="preserve">Falla electrica</t>
  </si>
  <si>
    <t xml:space="preserve">OF-4112</t>
  </si>
  <si>
    <t xml:space="preserve">OF-4113</t>
  </si>
  <si>
    <t xml:space="preserve">2026-08-07</t>
  </si>
  <si>
    <t xml:space="preserve">OF-4114</t>
  </si>
  <si>
    <t xml:space="preserve">OF-4115</t>
  </si>
  <si>
    <t xml:space="preserve">OF-4116</t>
  </si>
  <si>
    <t xml:space="preserve">OF-4117</t>
  </si>
  <si>
    <t xml:space="preserve">Falla eléctrica</t>
  </si>
  <si>
    <t xml:space="preserve">OF-4118</t>
  </si>
  <si>
    <t xml:space="preserve">OF-4119</t>
  </si>
  <si>
    <t xml:space="preserve">OF-4120</t>
  </si>
  <si>
    <t xml:space="preserve">2026-08-08</t>
  </si>
  <si>
    <t xml:space="preserve">OF-4121</t>
  </si>
  <si>
    <t xml:space="preserve">OF-4122</t>
  </si>
  <si>
    <t xml:space="preserve">OF-4123</t>
  </si>
  <si>
    <t xml:space="preserve">Falta de insumo</t>
  </si>
  <si>
    <t xml:space="preserve">OF-4124</t>
  </si>
  <si>
    <t xml:space="preserve">Cambio de formato</t>
  </si>
  <si>
    <t xml:space="preserve">OF-4125</t>
  </si>
  <si>
    <t xml:space="preserve">OP-103</t>
  </si>
  <si>
    <t xml:space="preserve">OF-4126</t>
  </si>
  <si>
    <t xml:space="preserve">OF-4127</t>
  </si>
  <si>
    <t xml:space="preserve">OF-4128</t>
  </si>
  <si>
    <t xml:space="preserve">OF-4129</t>
  </si>
  <si>
    <t xml:space="preserve">OF-4130</t>
  </si>
  <si>
    <t xml:space="preserve">OF-4131</t>
  </si>
  <si>
    <t xml:space="preserve">OF-4132</t>
  </si>
  <si>
    <t xml:space="preserve">OF-4133</t>
  </si>
  <si>
    <t xml:space="preserve">OF-4134</t>
  </si>
  <si>
    <t xml:space="preserve">OF-4135</t>
  </si>
  <si>
    <t xml:space="preserve">OF-4136</t>
  </si>
  <si>
    <t xml:space="preserve">OF-4137</t>
  </si>
  <si>
    <t xml:space="preserve">OF-4138</t>
  </si>
  <si>
    <t xml:space="preserve">2026-08-09</t>
  </si>
  <si>
    <t xml:space="preserve">OF-4139</t>
  </si>
  <si>
    <t xml:space="preserve">OF-4140</t>
  </si>
  <si>
    <t xml:space="preserve">OF-4141</t>
  </si>
  <si>
    <t xml:space="preserve">OF-4142</t>
  </si>
  <si>
    <t xml:space="preserve">OF-4143</t>
  </si>
  <si>
    <t xml:space="preserve">OF-4144</t>
  </si>
  <si>
    <t xml:space="preserve">2026-08-10</t>
  </si>
  <si>
    <t xml:space="preserve">OF-4145</t>
  </si>
  <si>
    <t xml:space="preserve">OF-4146</t>
  </si>
  <si>
    <t xml:space="preserve">OF-4147</t>
  </si>
  <si>
    <t xml:space="preserve">2026-08-12</t>
  </si>
  <si>
    <t xml:space="preserve">OF-4148</t>
  </si>
  <si>
    <t xml:space="preserve">OF-4149</t>
  </si>
  <si>
    <t xml:space="preserve">2026-08-11</t>
  </si>
  <si>
    <t xml:space="preserve">OF-4150</t>
  </si>
  <si>
    <t xml:space="preserve">OF-4151</t>
  </si>
  <si>
    <t xml:space="preserve">OF-4152</t>
  </si>
  <si>
    <t xml:space="preserve">OF-4153</t>
  </si>
  <si>
    <t xml:space="preserve">OF-4154</t>
  </si>
  <si>
    <t xml:space="preserve">OF-4155</t>
  </si>
  <si>
    <t xml:space="preserve">OF-4156</t>
  </si>
  <si>
    <t xml:space="preserve">2026-08-13</t>
  </si>
  <si>
    <t xml:space="preserve">OF-4157</t>
  </si>
  <si>
    <t xml:space="preserve">OF-4158</t>
  </si>
  <si>
    <t xml:space="preserve">OF-4159</t>
  </si>
  <si>
    <t xml:space="preserve">OF-4160</t>
  </si>
  <si>
    <t xml:space="preserve">2026-08-14</t>
  </si>
  <si>
    <t xml:space="preserve">OF-4161</t>
  </si>
  <si>
    <t xml:space="preserve">OF-4162</t>
  </si>
  <si>
    <t xml:space="preserve">OF-4163</t>
  </si>
  <si>
    <t xml:space="preserve">OF-4164</t>
  </si>
  <si>
    <t xml:space="preserve">2026-08-15</t>
  </si>
  <si>
    <t xml:space="preserve">OF-4165</t>
  </si>
  <si>
    <t xml:space="preserve">OF-4166</t>
  </si>
  <si>
    <t xml:space="preserve">OF-4167</t>
  </si>
  <si>
    <t xml:space="preserve">OF-4168</t>
  </si>
  <si>
    <t xml:space="preserve">OF-4169</t>
  </si>
  <si>
    <t xml:space="preserve">OF-4170</t>
  </si>
  <si>
    <t xml:space="preserve">OF-4171</t>
  </si>
  <si>
    <t xml:space="preserve">OF-4172</t>
  </si>
  <si>
    <t xml:space="preserve">OF-4173</t>
  </si>
  <si>
    <t xml:space="preserve">OF-4174</t>
  </si>
  <si>
    <t xml:space="preserve">OF-4175</t>
  </si>
  <si>
    <t xml:space="preserve">OF-4176</t>
  </si>
  <si>
    <t xml:space="preserve">OF-4177</t>
  </si>
  <si>
    <t xml:space="preserve">OF-4178</t>
  </si>
  <si>
    <t xml:space="preserve">OF-4179</t>
  </si>
  <si>
    <t xml:space="preserve">OF-4180</t>
  </si>
  <si>
    <t xml:space="preserve">2026-08-16</t>
  </si>
  <si>
    <t xml:space="preserve">OF-4181</t>
  </si>
  <si>
    <t xml:space="preserve">OF-4182</t>
  </si>
  <si>
    <t xml:space="preserve">OF-4183</t>
  </si>
  <si>
    <t xml:space="preserve">2026-08-17</t>
  </si>
  <si>
    <t xml:space="preserve">OF-4184</t>
  </si>
  <si>
    <t xml:space="preserve">OF-4185</t>
  </si>
  <si>
    <t xml:space="preserve">OF-4186</t>
  </si>
  <si>
    <t xml:space="preserve">OF-4187</t>
  </si>
  <si>
    <t xml:space="preserve">OF-4188</t>
  </si>
  <si>
    <t xml:space="preserve">OF-4189</t>
  </si>
  <si>
    <t xml:space="preserve">OF-4190</t>
  </si>
  <si>
    <t xml:space="preserve">OF-4191</t>
  </si>
  <si>
    <t xml:space="preserve">2026-08-20</t>
  </si>
  <si>
    <t xml:space="preserve">OF-4192</t>
  </si>
  <si>
    <t xml:space="preserve">OF-4193</t>
  </si>
  <si>
    <t xml:space="preserve">2026-08-18</t>
  </si>
  <si>
    <t xml:space="preserve">OF-4194</t>
  </si>
  <si>
    <t xml:space="preserve">OF-4195</t>
  </si>
  <si>
    <t xml:space="preserve">OF-4196</t>
  </si>
  <si>
    <t xml:space="preserve">2026-08-19</t>
  </si>
  <si>
    <t xml:space="preserve">OF-4197</t>
  </si>
  <si>
    <t xml:space="preserve">OF-4198</t>
  </si>
  <si>
    <t xml:space="preserve">OF-4199</t>
  </si>
  <si>
    <t xml:space="preserve">OF-4200</t>
  </si>
  <si>
    <t xml:space="preserve">OF-4201</t>
  </si>
  <si>
    <t xml:space="preserve">OF-4202</t>
  </si>
  <si>
    <t xml:space="preserve">OF-4203</t>
  </si>
  <si>
    <t xml:space="preserve">OF-4204</t>
  </si>
  <si>
    <t xml:space="preserve">OF-4205</t>
  </si>
  <si>
    <t xml:space="preserve">OF-4206</t>
  </si>
  <si>
    <t xml:space="preserve">2026-08-21</t>
  </si>
  <si>
    <t xml:space="preserve">OF-4207</t>
  </si>
  <si>
    <t xml:space="preserve">OF-4208</t>
  </si>
  <si>
    <t xml:space="preserve">OF-4209</t>
  </si>
  <si>
    <t xml:space="preserve">OF-4210</t>
  </si>
  <si>
    <t xml:space="preserve">2026-08-22</t>
  </si>
  <si>
    <t xml:space="preserve">OF-4211</t>
  </si>
  <si>
    <t xml:space="preserve">OF-4212</t>
  </si>
  <si>
    <t xml:space="preserve">OF-4213</t>
  </si>
  <si>
    <t xml:space="preserve">Otros</t>
  </si>
  <si>
    <t xml:space="preserve">OF-4214</t>
  </si>
  <si>
    <t xml:space="preserve">OF-4215</t>
  </si>
  <si>
    <t xml:space="preserve">OF-4216</t>
  </si>
  <si>
    <t xml:space="preserve">OF-4217</t>
  </si>
  <si>
    <t xml:space="preserve">OF-4218</t>
  </si>
  <si>
    <t xml:space="preserve">OF-4219</t>
  </si>
  <si>
    <t xml:space="preserve">OF-4220</t>
  </si>
  <si>
    <t xml:space="preserve">OF-4221</t>
  </si>
  <si>
    <t xml:space="preserve">OF-4222</t>
  </si>
  <si>
    <t xml:space="preserve">OF-4223</t>
  </si>
  <si>
    <t xml:space="preserve">OF-4224</t>
  </si>
  <si>
    <t xml:space="preserve">OF-4225</t>
  </si>
  <si>
    <t xml:space="preserve">OF-4226</t>
  </si>
  <si>
    <t xml:space="preserve">OF-4227</t>
  </si>
  <si>
    <t xml:space="preserve">2026-08-23</t>
  </si>
  <si>
    <t xml:space="preserve">OF-4228</t>
  </si>
  <si>
    <t xml:space="preserve">OF-4229</t>
  </si>
  <si>
    <t xml:space="preserve">OF-4230</t>
  </si>
  <si>
    <t xml:space="preserve">OF-4231</t>
  </si>
  <si>
    <t xml:space="preserve">OF-4232</t>
  </si>
  <si>
    <t xml:space="preserve">Linea detenida por espera de material</t>
  </si>
  <si>
    <t xml:space="preserve">OF-4233</t>
  </si>
  <si>
    <t xml:space="preserve">OF-4234</t>
  </si>
  <si>
    <t xml:space="preserve">OF-4235</t>
  </si>
  <si>
    <t xml:space="preserve">2026-08-24</t>
  </si>
  <si>
    <t xml:space="preserve">OF-4236</t>
  </si>
  <si>
    <t xml:space="preserve">2026-08-27</t>
  </si>
  <si>
    <t xml:space="preserve">OF-4237</t>
  </si>
  <si>
    <t xml:space="preserve">OF-4238</t>
  </si>
  <si>
    <t xml:space="preserve">2026-08-25</t>
  </si>
  <si>
    <t xml:space="preserve">OF-4239</t>
  </si>
  <si>
    <t xml:space="preserve">OF-4240</t>
  </si>
  <si>
    <t xml:space="preserve">2026-08-26</t>
  </si>
  <si>
    <t xml:space="preserve">OF-4241</t>
  </si>
  <si>
    <t xml:space="preserve">OF-4242</t>
  </si>
  <si>
    <t xml:space="preserve">OF-4243</t>
  </si>
  <si>
    <t xml:space="preserve">OF-4244</t>
  </si>
  <si>
    <t xml:space="preserve">OF-4245</t>
  </si>
  <si>
    <t xml:space="preserve">OF-4246</t>
  </si>
  <si>
    <t xml:space="preserve">2026-08-28</t>
  </si>
  <si>
    <t xml:space="preserve">OF-4247</t>
  </si>
  <si>
    <t xml:space="preserve">OF-4248</t>
  </si>
  <si>
    <t xml:space="preserve">OF-4249</t>
  </si>
  <si>
    <t xml:space="preserve">OF-4250</t>
  </si>
  <si>
    <t xml:space="preserve">OF-4251</t>
  </si>
  <si>
    <t xml:space="preserve">Se recupero produccion del turno anterior</t>
  </si>
  <si>
    <t xml:space="preserve">OF-4252</t>
  </si>
  <si>
    <t xml:space="preserve">OF-4253</t>
  </si>
  <si>
    <t xml:space="preserve">OF-4254</t>
  </si>
  <si>
    <t xml:space="preserve">OF-4255</t>
  </si>
  <si>
    <t xml:space="preserve">OF-4256</t>
  </si>
  <si>
    <t xml:space="preserve">OF-4257</t>
  </si>
  <si>
    <t xml:space="preserve">OF-4258</t>
  </si>
  <si>
    <t xml:space="preserve">OF-4259</t>
  </si>
  <si>
    <t xml:space="preserve">OF-4260</t>
  </si>
  <si>
    <t xml:space="preserve">OF-4261</t>
  </si>
  <si>
    <t xml:space="preserve">OF-4262</t>
  </si>
  <si>
    <t xml:space="preserve">OF-4263</t>
  </si>
  <si>
    <t xml:space="preserve">OF-4264</t>
  </si>
  <si>
    <t xml:space="preserve">OF-4265</t>
  </si>
  <si>
    <t xml:space="preserve">OF-4266</t>
  </si>
  <si>
    <t xml:space="preserve">OF-4267</t>
  </si>
  <si>
    <t xml:space="preserve">OF-4268</t>
  </si>
  <si>
    <t xml:space="preserve">OF-4269</t>
  </si>
  <si>
    <t xml:space="preserve">OF-4270</t>
  </si>
  <si>
    <t xml:space="preserve">OF-4271</t>
  </si>
  <si>
    <t xml:space="preserve">OF-4272</t>
  </si>
  <si>
    <t xml:space="preserve">OF-4273</t>
  </si>
  <si>
    <t xml:space="preserve">OF-4274</t>
  </si>
  <si>
    <t xml:space="preserve">OF-4275</t>
  </si>
  <si>
    <t xml:space="preserve">OF-4276</t>
  </si>
  <si>
    <t xml:space="preserve">OF-4277</t>
  </si>
  <si>
    <t xml:space="preserve">OF-4278</t>
  </si>
  <si>
    <t xml:space="preserve">OF-4279</t>
  </si>
  <si>
    <t xml:space="preserve">OF-4280</t>
  </si>
  <si>
    <t xml:space="preserve">Cómo se carga esta planilla</t>
  </si>
  <si>
    <t xml:space="preserve">· Las columnas con encabezado AZUL OSCURO se cargan a mano.</t>
  </si>
  <si>
    <t xml:space="preserve">· Las columnas con encabezado GRIS son calculadas: tienen fórmula, no las pises.</t>
  </si>
  <si>
    <t xml:space="preserve">· Turno, Motivo_Parada, Tipo_Parada, Estado_Lote y Unidad_Medida tienen lista desplegable.</t>
  </si>
  <si>
    <t xml:space="preserve">· Fecha y Fecha_Cierre_Lote se escriben como AAAA-MM-DD.</t>
  </si>
  <si>
    <t xml:space="preserve">· Hora_Inicio y Hora_Fin como HH:MM. En turno Noche la hora de fin es menor: es correcto.</t>
  </si>
  <si>
    <t xml:space="preserve">· Un 0 es un valor válido. Dejar la celda vacía significa 'no se cargó'.</t>
  </si>
  <si>
    <t xml:space="preserve">· Para agregar un día: copiá la última fila hacia abajo, así se arrastran las fórmulas.</t>
  </si>
  <si>
    <t xml:space="preserve">Diccionario de campos</t>
  </si>
  <si>
    <t xml:space="preserve">Campo</t>
  </si>
  <si>
    <t xml:space="preserve">Tipo</t>
  </si>
  <si>
    <t xml:space="preserve">Obligatorio</t>
  </si>
  <si>
    <t xml:space="preserve">Descripción</t>
  </si>
  <si>
    <t xml:space="preserve">Sí</t>
  </si>
  <si>
    <t xml:space="preserve">Día de producción. Formato AAAA-MM-DD.</t>
  </si>
  <si>
    <t xml:space="preserve">Lista</t>
  </si>
  <si>
    <t xml:space="preserve">Mañana 06:00-14:00 · Tarde 14:00-22:00 · Noche 22:00-06:00.</t>
  </si>
  <si>
    <t xml:space="preserve">Texto</t>
  </si>
  <si>
    <t xml:space="preserve">Legajo de quien opera la máquina.</t>
  </si>
  <si>
    <t xml:space="preserve">No</t>
  </si>
  <si>
    <t xml:space="preserve">Responsable del turno.</t>
  </si>
  <si>
    <t xml:space="preserve">Código</t>
  </si>
  <si>
    <t xml:space="preserve">Identificador de la línea.</t>
  </si>
  <si>
    <t xml:space="preserve">Área o centro de trabajo.</t>
  </si>
  <si>
    <t xml:space="preserve">Orden de fabricación o lote.</t>
  </si>
  <si>
    <t xml:space="preserve">Abierto o Cerrado.</t>
  </si>
  <si>
    <t xml:space="preserve">Condicional</t>
  </si>
  <si>
    <t xml:space="preserve">Se completa cuando el lote se cierra.</t>
  </si>
  <si>
    <t xml:space="preserve">Código interno del producto.</t>
  </si>
  <si>
    <t xml:space="preserve">Descripción del producto.</t>
  </si>
  <si>
    <t xml:space="preserve">Hora</t>
  </si>
  <si>
    <t xml:space="preserve">Inicio del turno, HH:MM.</t>
  </si>
  <si>
    <t xml:space="preserve">Fin del turno, HH:MM.</t>
  </si>
  <si>
    <t xml:space="preserve">Calculado</t>
  </si>
  <si>
    <t xml:space="preserve">—</t>
  </si>
  <si>
    <t xml:space="preserve">Minutos entre inicio y fin. Contempla el cruce de medianoche.</t>
  </si>
  <si>
    <t xml:space="preserve">Número</t>
  </si>
  <si>
    <t xml:space="preserve">Minutos de preparación o cambio de formato.</t>
  </si>
  <si>
    <t xml:space="preserve">Minutos totales de parada del turno.</t>
  </si>
  <si>
    <t xml:space="preserve">Obligatorio si hay minutos de parada.</t>
  </si>
  <si>
    <t xml:space="preserve">Planificada o No Planificada.</t>
  </si>
  <si>
    <t xml:space="preserve">Total menos setup menos parada.</t>
  </si>
  <si>
    <t xml:space="preserve">Unidades buenas producidas.</t>
  </si>
  <si>
    <t xml:space="preserve">Unidades rechazadas o scrap.</t>
  </si>
  <si>
    <t xml:space="preserve">Unidad de la cantidad producida.</t>
  </si>
  <si>
    <t xml:space="preserve">Velocidad nominal de la máquina para ese producto.</t>
  </si>
  <si>
    <t xml:space="preserve">Meta planificada del turno.</t>
  </si>
  <si>
    <t xml:space="preserve">Producida sobre meta.</t>
  </si>
  <si>
    <t xml:space="preserve">Productivo sobre total. Componente de OEE.</t>
  </si>
  <si>
    <t xml:space="preserve">Producción real contra la teórica a velocidad estándar.</t>
  </si>
  <si>
    <t xml:space="preserve">Producida sobre producida más rechazada.</t>
  </si>
  <si>
    <t xml:space="preserve">Disponibilidad por rendimiento por calidad.</t>
  </si>
  <si>
    <t xml:space="preserve">Notas del operario o supervisor.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</si>
</sst>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1F3B4D"/>
      <name val="Arial"/>
      <family val="0"/>
      <charset val="1"/>
    </font>
    <font>
      <b val="true"/>
      <sz val="13"/>
      <color rgb="FF1F3B4D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B4D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4A6572"/>
        <bgColor rgb="FF808080"/>
      </patternFill>
    </fill>
    <fill>
      <patternFill patternType="solid">
        <fgColor rgb="FFF2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BE0"/>
      </left>
      <right style="thin">
        <color rgb="FFD3DBE0"/>
      </right>
      <top style="thin">
        <color rgb="FFD3DBE0"/>
      </top>
      <bottom style="thin">
        <color rgb="FFD3DB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4D"/>
          <bgColor rgb="FF000000"/>
        </patternFill>
      </fill>
    </dxf>
    <dxf>
      <fill>
        <patternFill patternType="solid">
          <fgColor rgb="FFF2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A657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7"/>
      <rgbColor rgb="FFCCFFFF"/>
      <rgbColor rgb="FF660066"/>
      <rgbColor rgb="FFFF8080"/>
      <rgbColor rgb="FF0066CC"/>
      <rgbColor rgb="FFD3DB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5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13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29" min="19" style="0" width="13"/>
    <col collapsed="false" customWidth="true" hidden="false" outlineLevel="0" max="30" min="30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4" t="n">
        <f aca="false">IFERROR(MOD(TIMEVALUE(M2)-TIMEVALUE(L2),1)*1440,"")</f>
        <v>480</v>
      </c>
      <c r="O2" s="5" t="n">
        <v>0</v>
      </c>
      <c r="P2" s="5" t="n">
        <v>120</v>
      </c>
      <c r="Q2" s="3" t="s">
        <v>43</v>
      </c>
      <c r="R2" s="3" t="s">
        <v>44</v>
      </c>
      <c r="S2" s="4" t="n">
        <f aca="false">IFERROR(N2-N(O2)-N(P2),"")</f>
        <v>360</v>
      </c>
      <c r="T2" s="5" t="n">
        <v>4942</v>
      </c>
      <c r="U2" s="5" t="n">
        <v>31</v>
      </c>
      <c r="V2" s="3" t="s">
        <v>45</v>
      </c>
      <c r="W2" s="5" t="n">
        <v>950</v>
      </c>
      <c r="X2" s="5" t="n">
        <v>6232</v>
      </c>
      <c r="Y2" s="4" t="n">
        <f aca="false">IFERROR(T2/X2*100,"")</f>
        <v>79.3003851091143</v>
      </c>
      <c r="Z2" s="4" t="n">
        <f aca="false">IFERROR(S2/N2*100,"")</f>
        <v>75</v>
      </c>
      <c r="AA2" s="4" t="n">
        <f aca="false">IFERROR(T2/(W2*S2/60)*100,"")</f>
        <v>86.7017543859649</v>
      </c>
      <c r="AB2" s="4" t="n">
        <f aca="false">IFERROR(T2/(T2+U2)*100,"")</f>
        <v>99.3766338226423</v>
      </c>
      <c r="AC2" s="4" t="n">
        <f aca="false">IFERROR(Z2*AA2*AB2/10000,"")</f>
        <v>64.6209637304603</v>
      </c>
      <c r="AD2" s="3"/>
    </row>
    <row r="3" customFormat="false" ht="15" hidden="false" customHeight="false" outlineLevel="0" collapsed="false">
      <c r="A3" s="6" t="s">
        <v>30</v>
      </c>
      <c r="B3" s="6" t="s">
        <v>31</v>
      </c>
      <c r="C3" s="6" t="s">
        <v>32</v>
      </c>
      <c r="D3" s="6" t="s">
        <v>33</v>
      </c>
      <c r="E3" s="6" t="s">
        <v>46</v>
      </c>
      <c r="F3" s="6" t="s">
        <v>35</v>
      </c>
      <c r="G3" s="6" t="s">
        <v>47</v>
      </c>
      <c r="H3" s="6" t="s">
        <v>37</v>
      </c>
      <c r="I3" s="6" t="s">
        <v>48</v>
      </c>
      <c r="J3" s="6" t="s">
        <v>39</v>
      </c>
      <c r="K3" s="6" t="s">
        <v>40</v>
      </c>
      <c r="L3" s="6" t="s">
        <v>41</v>
      </c>
      <c r="M3" s="6" t="s">
        <v>42</v>
      </c>
      <c r="N3" s="7" t="n">
        <f aca="false">IFERROR(MOD(TIMEVALUE(M3)-TIMEVALUE(L3),1)*1440,"")</f>
        <v>480</v>
      </c>
      <c r="O3" s="8" t="n">
        <v>45</v>
      </c>
      <c r="P3" s="8" t="n">
        <v>85</v>
      </c>
      <c r="Q3" s="6" t="s">
        <v>49</v>
      </c>
      <c r="R3" s="6" t="s">
        <v>50</v>
      </c>
      <c r="S3" s="7" t="n">
        <f aca="false">IFERROR(N3-N(O3)-N(P3),"")</f>
        <v>350</v>
      </c>
      <c r="T3" s="8" t="n">
        <v>5103</v>
      </c>
      <c r="U3" s="8" t="n">
        <v>37</v>
      </c>
      <c r="V3" s="6" t="s">
        <v>45</v>
      </c>
      <c r="W3" s="8" t="n">
        <v>950</v>
      </c>
      <c r="X3" s="8" t="n">
        <v>6232</v>
      </c>
      <c r="Y3" s="7" t="n">
        <f aca="false">IFERROR(T3/X3*100,"")</f>
        <v>81.8838254172015</v>
      </c>
      <c r="Z3" s="7" t="n">
        <f aca="false">IFERROR(S3/N3*100,"")</f>
        <v>72.9166666666667</v>
      </c>
      <c r="AA3" s="7" t="n">
        <f aca="false">IFERROR(T3/(W3*S3/60)*100,"")</f>
        <v>92.0842105263158</v>
      </c>
      <c r="AB3" s="7" t="n">
        <f aca="false">IFERROR(T3/(T3+U3)*100,"")</f>
        <v>99.2801556420234</v>
      </c>
      <c r="AC3" s="7" t="n">
        <f aca="false">IFERROR(Z3*AA3*AB3/10000,"")</f>
        <v>66.6613992422691</v>
      </c>
      <c r="AD3" s="6"/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3" t="s">
        <v>51</v>
      </c>
      <c r="F4" s="3" t="s">
        <v>52</v>
      </c>
      <c r="G4" s="3" t="s">
        <v>53</v>
      </c>
      <c r="H4" s="3" t="s">
        <v>37</v>
      </c>
      <c r="I4" s="3" t="s">
        <v>54</v>
      </c>
      <c r="J4" s="3" t="s">
        <v>55</v>
      </c>
      <c r="K4" s="3" t="s">
        <v>56</v>
      </c>
      <c r="L4" s="3" t="s">
        <v>41</v>
      </c>
      <c r="M4" s="3" t="s">
        <v>42</v>
      </c>
      <c r="N4" s="4" t="n">
        <f aca="false">IFERROR(MOD(TIMEVALUE(M4)-TIMEVALUE(L4),1)*1440,"")</f>
        <v>480</v>
      </c>
      <c r="O4" s="5" t="n">
        <v>30</v>
      </c>
      <c r="P4" s="5" t="n">
        <v>50</v>
      </c>
      <c r="Q4" s="3" t="s">
        <v>57</v>
      </c>
      <c r="R4" s="3" t="s">
        <v>50</v>
      </c>
      <c r="S4" s="4" t="n">
        <f aca="false">IFERROR(N4-N(O4)-N(P4),"")</f>
        <v>400</v>
      </c>
      <c r="T4" s="5" t="n">
        <v>7733</v>
      </c>
      <c r="U4" s="5" t="n">
        <v>91</v>
      </c>
      <c r="V4" s="3" t="s">
        <v>45</v>
      </c>
      <c r="W4" s="5" t="n">
        <v>1200</v>
      </c>
      <c r="X4" s="5" t="n">
        <v>7871</v>
      </c>
      <c r="Y4" s="4" t="n">
        <f aca="false">IFERROR(T4/X4*100,"")</f>
        <v>98.2467284970144</v>
      </c>
      <c r="Z4" s="4" t="n">
        <f aca="false">IFERROR(S4/N4*100,"")</f>
        <v>83.3333333333333</v>
      </c>
      <c r="AA4" s="4" t="n">
        <f aca="false">IFERROR(T4/(W4*S4/60)*100,"")</f>
        <v>96.6625</v>
      </c>
      <c r="AB4" s="4" t="n">
        <f aca="false">IFERROR(T4/(T4+U4)*100,"")</f>
        <v>98.8369120654397</v>
      </c>
      <c r="AC4" s="4" t="n">
        <f aca="false">IFERROR(Z4*AA4*AB4/10000,"")</f>
        <v>79.6151917710464</v>
      </c>
      <c r="AD4" s="3"/>
    </row>
    <row r="5" customFormat="false" ht="15" hidden="false" customHeight="false" outlineLevel="0" collapsed="false">
      <c r="A5" s="6" t="s">
        <v>30</v>
      </c>
      <c r="B5" s="6" t="s">
        <v>58</v>
      </c>
      <c r="C5" s="6" t="s">
        <v>59</v>
      </c>
      <c r="D5" s="6" t="s">
        <v>60</v>
      </c>
      <c r="E5" s="6" t="s">
        <v>34</v>
      </c>
      <c r="F5" s="6" t="s">
        <v>35</v>
      </c>
      <c r="G5" s="6" t="s">
        <v>61</v>
      </c>
      <c r="H5" s="6" t="s">
        <v>62</v>
      </c>
      <c r="I5" s="6"/>
      <c r="J5" s="6" t="s">
        <v>39</v>
      </c>
      <c r="K5" s="6" t="s">
        <v>40</v>
      </c>
      <c r="L5" s="6" t="s">
        <v>42</v>
      </c>
      <c r="M5" s="6" t="s">
        <v>63</v>
      </c>
      <c r="N5" s="7" t="n">
        <f aca="false">IFERROR(MOD(TIMEVALUE(M5)-TIMEVALUE(L5),1)*1440,"")</f>
        <v>480</v>
      </c>
      <c r="O5" s="8" t="n">
        <v>0</v>
      </c>
      <c r="P5" s="8" t="n">
        <v>0</v>
      </c>
      <c r="Q5" s="6"/>
      <c r="R5" s="6"/>
      <c r="S5" s="7" t="n">
        <f aca="false">IFERROR(N5-N(O5)-N(P5),"")</f>
        <v>480</v>
      </c>
      <c r="T5" s="8" t="n">
        <v>6552</v>
      </c>
      <c r="U5" s="8" t="n">
        <v>113</v>
      </c>
      <c r="V5" s="6" t="s">
        <v>45</v>
      </c>
      <c r="W5" s="8" t="n">
        <v>950</v>
      </c>
      <c r="X5" s="8" t="n">
        <v>6232</v>
      </c>
      <c r="Y5" s="7" t="n">
        <f aca="false">IFERROR(T5/X5*100,"")</f>
        <v>105.134788189987</v>
      </c>
      <c r="Z5" s="7" t="n">
        <f aca="false">IFERROR(S5/N5*100,"")</f>
        <v>100</v>
      </c>
      <c r="AA5" s="7" t="n">
        <f aca="false">IFERROR(T5/(W5*S5/60)*100,"")</f>
        <v>86.2105263157895</v>
      </c>
      <c r="AB5" s="7" t="n">
        <f aca="false">IFERROR(T5/(T5+U5)*100,"")</f>
        <v>98.304576144036</v>
      </c>
      <c r="AC5" s="7" t="n">
        <f aca="false">IFERROR(Z5*AA5*AB5/10000,"")</f>
        <v>84.7488924862795</v>
      </c>
      <c r="AD5" s="6"/>
    </row>
    <row r="6" customFormat="false" ht="15" hidden="false" customHeight="false" outlineLevel="0" collapsed="false">
      <c r="A6" s="3" t="s">
        <v>30</v>
      </c>
      <c r="B6" s="3" t="s">
        <v>58</v>
      </c>
      <c r="C6" s="3" t="s">
        <v>32</v>
      </c>
      <c r="D6" s="3" t="s">
        <v>60</v>
      </c>
      <c r="E6" s="3" t="s">
        <v>46</v>
      </c>
      <c r="F6" s="3" t="s">
        <v>35</v>
      </c>
      <c r="G6" s="3" t="s">
        <v>64</v>
      </c>
      <c r="H6" s="3" t="s">
        <v>37</v>
      </c>
      <c r="I6" s="3" t="s">
        <v>48</v>
      </c>
      <c r="J6" s="3" t="s">
        <v>65</v>
      </c>
      <c r="K6" s="3" t="s">
        <v>66</v>
      </c>
      <c r="L6" s="3" t="s">
        <v>42</v>
      </c>
      <c r="M6" s="3" t="s">
        <v>63</v>
      </c>
      <c r="N6" s="4" t="n">
        <f aca="false">IFERROR(MOD(TIMEVALUE(M6)-TIMEVALUE(L6),1)*1440,"")</f>
        <v>480</v>
      </c>
      <c r="O6" s="5" t="n">
        <v>0</v>
      </c>
      <c r="P6" s="5" t="n">
        <v>0</v>
      </c>
      <c r="Q6" s="3"/>
      <c r="R6" s="3"/>
      <c r="S6" s="4" t="n">
        <f aca="false">IFERROR(N6-N(O6)-N(P6),"")</f>
        <v>480</v>
      </c>
      <c r="T6" s="5" t="n">
        <v>9380</v>
      </c>
      <c r="U6" s="5" t="n">
        <v>68</v>
      </c>
      <c r="V6" s="3" t="s">
        <v>45</v>
      </c>
      <c r="W6" s="5" t="n">
        <v>1400</v>
      </c>
      <c r="X6" s="5" t="n">
        <v>9184</v>
      </c>
      <c r="Y6" s="4" t="n">
        <f aca="false">IFERROR(T6/X6*100,"")</f>
        <v>102.134146341463</v>
      </c>
      <c r="Z6" s="4" t="n">
        <f aca="false">IFERROR(S6/N6*100,"")</f>
        <v>100</v>
      </c>
      <c r="AA6" s="4" t="n">
        <f aca="false">IFERROR(T6/(W6*S6/60)*100,"")</f>
        <v>83.75</v>
      </c>
      <c r="AB6" s="4" t="n">
        <f aca="false">IFERROR(T6/(T6+U6)*100,"")</f>
        <v>99.2802709568163</v>
      </c>
      <c r="AC6" s="4" t="n">
        <f aca="false">IFERROR(Z6*AA6*AB6/10000,"")</f>
        <v>83.1472269263336</v>
      </c>
      <c r="AD6" s="3"/>
    </row>
    <row r="7" customFormat="false" ht="15" hidden="false" customHeight="false" outlineLevel="0" collapsed="false">
      <c r="A7" s="6" t="s">
        <v>30</v>
      </c>
      <c r="B7" s="6" t="s">
        <v>58</v>
      </c>
      <c r="C7" s="6" t="s">
        <v>67</v>
      </c>
      <c r="D7" s="6" t="s">
        <v>60</v>
      </c>
      <c r="E7" s="6" t="s">
        <v>51</v>
      </c>
      <c r="F7" s="6" t="s">
        <v>52</v>
      </c>
      <c r="G7" s="6" t="s">
        <v>68</v>
      </c>
      <c r="H7" s="6" t="s">
        <v>37</v>
      </c>
      <c r="I7" s="6" t="s">
        <v>48</v>
      </c>
      <c r="J7" s="6" t="s">
        <v>65</v>
      </c>
      <c r="K7" s="6" t="s">
        <v>66</v>
      </c>
      <c r="L7" s="6" t="s">
        <v>42</v>
      </c>
      <c r="M7" s="6" t="s">
        <v>63</v>
      </c>
      <c r="N7" s="7" t="n">
        <f aca="false">IFERROR(MOD(TIMEVALUE(M7)-TIMEVALUE(L7),1)*1440,"")</f>
        <v>480</v>
      </c>
      <c r="O7" s="8" t="n">
        <v>20</v>
      </c>
      <c r="P7" s="8" t="n">
        <v>0</v>
      </c>
      <c r="Q7" s="6"/>
      <c r="R7" s="6"/>
      <c r="S7" s="7" t="n">
        <f aca="false">IFERROR(N7-N(O7)-N(P7),"")</f>
        <v>460</v>
      </c>
      <c r="T7" s="8" t="n">
        <v>8739</v>
      </c>
      <c r="U7" s="8" t="n">
        <v>129</v>
      </c>
      <c r="V7" s="6" t="s">
        <v>45</v>
      </c>
      <c r="W7" s="8" t="n">
        <v>1400</v>
      </c>
      <c r="X7" s="8" t="n">
        <v>9184</v>
      </c>
      <c r="Y7" s="7" t="n">
        <f aca="false">IFERROR(T7/X7*100,"")</f>
        <v>95.1546167247387</v>
      </c>
      <c r="Z7" s="7" t="n">
        <f aca="false">IFERROR(S7/N7*100,"")</f>
        <v>95.8333333333333</v>
      </c>
      <c r="AA7" s="7" t="n">
        <f aca="false">IFERROR(T7/(W7*S7/60)*100,"")</f>
        <v>81.4192546583851</v>
      </c>
      <c r="AB7" s="7" t="n">
        <f aca="false">IFERROR(T7/(T7+U7)*100,"")</f>
        <v>98.5453315290934</v>
      </c>
      <c r="AC7" s="7" t="n">
        <f aca="false">IFERROR(Z7*AA7*AB7/10000,"")</f>
        <v>76.8917546636381</v>
      </c>
      <c r="AD7" s="6"/>
    </row>
    <row r="8" customFormat="false" ht="15" hidden="false" customHeight="false" outlineLevel="0" collapsed="false">
      <c r="A8" s="3" t="s">
        <v>30</v>
      </c>
      <c r="B8" s="3" t="s">
        <v>69</v>
      </c>
      <c r="C8" s="3" t="s">
        <v>70</v>
      </c>
      <c r="D8" s="3" t="s">
        <v>71</v>
      </c>
      <c r="E8" s="3" t="s">
        <v>34</v>
      </c>
      <c r="F8" s="3" t="s">
        <v>35</v>
      </c>
      <c r="G8" s="3" t="s">
        <v>72</v>
      </c>
      <c r="H8" s="3" t="s">
        <v>37</v>
      </c>
      <c r="I8" s="3" t="s">
        <v>54</v>
      </c>
      <c r="J8" s="3" t="s">
        <v>65</v>
      </c>
      <c r="K8" s="3" t="s">
        <v>66</v>
      </c>
      <c r="L8" s="3" t="s">
        <v>63</v>
      </c>
      <c r="M8" s="3" t="s">
        <v>41</v>
      </c>
      <c r="N8" s="4" t="n">
        <f aca="false">IFERROR(MOD(TIMEVALUE(M8)-TIMEVALUE(L8),1)*1440,"")</f>
        <v>480</v>
      </c>
      <c r="O8" s="5" t="n">
        <v>0</v>
      </c>
      <c r="P8" s="5" t="n">
        <v>45</v>
      </c>
      <c r="Q8" s="3" t="s">
        <v>43</v>
      </c>
      <c r="R8" s="3" t="s">
        <v>44</v>
      </c>
      <c r="S8" s="4" t="n">
        <f aca="false">IFERROR(N8-N(O8)-N(P8),"")</f>
        <v>435</v>
      </c>
      <c r="T8" s="5" t="n">
        <v>9484</v>
      </c>
      <c r="U8" s="5" t="n">
        <v>96</v>
      </c>
      <c r="V8" s="3" t="s">
        <v>45</v>
      </c>
      <c r="W8" s="5" t="n">
        <v>1400</v>
      </c>
      <c r="X8" s="5" t="n">
        <v>9184</v>
      </c>
      <c r="Y8" s="4" t="n">
        <f aca="false">IFERROR(T8/X8*100,"")</f>
        <v>103.266550522648</v>
      </c>
      <c r="Z8" s="4" t="n">
        <f aca="false">IFERROR(S8/N8*100,"")</f>
        <v>90.625</v>
      </c>
      <c r="AA8" s="4" t="n">
        <f aca="false">IFERROR(T8/(W8*S8/60)*100,"")</f>
        <v>93.4384236453202</v>
      </c>
      <c r="AB8" s="4" t="n">
        <f aca="false">IFERROR(T8/(T8+U8)*100,"")</f>
        <v>98.9979123173278</v>
      </c>
      <c r="AC8" s="4" t="n">
        <f aca="false">IFERROR(Z8*AA8*AB8/10000,"")</f>
        <v>83.8300178944229</v>
      </c>
      <c r="AD8" s="3"/>
    </row>
    <row r="9" customFormat="false" ht="15" hidden="false" customHeight="false" outlineLevel="0" collapsed="false">
      <c r="A9" s="6" t="s">
        <v>30</v>
      </c>
      <c r="B9" s="6" t="s">
        <v>69</v>
      </c>
      <c r="C9" s="6" t="s">
        <v>70</v>
      </c>
      <c r="D9" s="6" t="s">
        <v>71</v>
      </c>
      <c r="E9" s="6" t="s">
        <v>46</v>
      </c>
      <c r="F9" s="6" t="s">
        <v>35</v>
      </c>
      <c r="G9" s="6" t="s">
        <v>73</v>
      </c>
      <c r="H9" s="6" t="s">
        <v>37</v>
      </c>
      <c r="I9" s="6" t="s">
        <v>48</v>
      </c>
      <c r="J9" s="6" t="s">
        <v>65</v>
      </c>
      <c r="K9" s="6" t="s">
        <v>66</v>
      </c>
      <c r="L9" s="6" t="s">
        <v>63</v>
      </c>
      <c r="M9" s="6" t="s">
        <v>41</v>
      </c>
      <c r="N9" s="7" t="n">
        <f aca="false">IFERROR(MOD(TIMEVALUE(M9)-TIMEVALUE(L9),1)*1440,"")</f>
        <v>480</v>
      </c>
      <c r="O9" s="8" t="n">
        <v>15</v>
      </c>
      <c r="P9" s="8" t="n">
        <v>65</v>
      </c>
      <c r="Q9" s="6" t="s">
        <v>74</v>
      </c>
      <c r="R9" s="6" t="s">
        <v>50</v>
      </c>
      <c r="S9" s="7" t="n">
        <f aca="false">IFERROR(N9-N(O9)-N(P9),"")</f>
        <v>400</v>
      </c>
      <c r="T9" s="8" t="n">
        <v>8474</v>
      </c>
      <c r="U9" s="8" t="n">
        <v>235</v>
      </c>
      <c r="V9" s="6" t="s">
        <v>45</v>
      </c>
      <c r="W9" s="8" t="n">
        <v>1400</v>
      </c>
      <c r="X9" s="8" t="n">
        <v>9184</v>
      </c>
      <c r="Y9" s="7" t="n">
        <f aca="false">IFERROR(T9/X9*100,"")</f>
        <v>92.2691637630662</v>
      </c>
      <c r="Z9" s="7" t="n">
        <f aca="false">IFERROR(S9/N9*100,"")</f>
        <v>83.3333333333333</v>
      </c>
      <c r="AA9" s="7" t="n">
        <f aca="false">IFERROR(T9/(W9*S9/60)*100,"")</f>
        <v>90.7928571428571</v>
      </c>
      <c r="AB9" s="7" t="n">
        <f aca="false">IFERROR(T9/(T9+U9)*100,"")</f>
        <v>97.3016419795614</v>
      </c>
      <c r="AC9" s="7" t="n">
        <f aca="false">IFERROR(Z9*AA9*AB9/10000,"")</f>
        <v>73.6191173334645</v>
      </c>
      <c r="AD9" s="6"/>
    </row>
    <row r="10" customFormat="false" ht="15" hidden="false" customHeight="false" outlineLevel="0" collapsed="false">
      <c r="A10" s="3" t="s">
        <v>30</v>
      </c>
      <c r="B10" s="3" t="s">
        <v>69</v>
      </c>
      <c r="C10" s="3" t="s">
        <v>70</v>
      </c>
      <c r="D10" s="3" t="s">
        <v>71</v>
      </c>
      <c r="E10" s="3" t="s">
        <v>51</v>
      </c>
      <c r="F10" s="3" t="s">
        <v>52</v>
      </c>
      <c r="G10" s="3" t="s">
        <v>75</v>
      </c>
      <c r="H10" s="3" t="s">
        <v>37</v>
      </c>
      <c r="I10" s="3" t="s">
        <v>54</v>
      </c>
      <c r="J10" s="3" t="s">
        <v>65</v>
      </c>
      <c r="K10" s="3" t="s">
        <v>66</v>
      </c>
      <c r="L10" s="3" t="s">
        <v>63</v>
      </c>
      <c r="M10" s="3" t="s">
        <v>41</v>
      </c>
      <c r="N10" s="4" t="n">
        <f aca="false">IFERROR(MOD(TIMEVALUE(M10)-TIMEVALUE(L10),1)*1440,"")</f>
        <v>480</v>
      </c>
      <c r="O10" s="5" t="n">
        <v>30</v>
      </c>
      <c r="P10" s="5" t="n">
        <v>45</v>
      </c>
      <c r="Q10" s="3" t="s">
        <v>57</v>
      </c>
      <c r="R10" s="3" t="s">
        <v>50</v>
      </c>
      <c r="S10" s="4" t="n">
        <f aca="false">IFERROR(N10-N(O10)-N(P10),"")</f>
        <v>405</v>
      </c>
      <c r="T10" s="5" t="n">
        <v>8523</v>
      </c>
      <c r="U10" s="5" t="n">
        <v>66</v>
      </c>
      <c r="V10" s="3" t="s">
        <v>45</v>
      </c>
      <c r="W10" s="5" t="n">
        <v>1400</v>
      </c>
      <c r="X10" s="5" t="n">
        <v>9184</v>
      </c>
      <c r="Y10" s="4" t="n">
        <f aca="false">IFERROR(T10/X10*100,"")</f>
        <v>92.8027003484321</v>
      </c>
      <c r="Z10" s="4" t="n">
        <f aca="false">IFERROR(S10/N10*100,"")</f>
        <v>84.375</v>
      </c>
      <c r="AA10" s="4" t="n">
        <f aca="false">IFERROR(T10/(W10*S10/60)*100,"")</f>
        <v>90.1904761904762</v>
      </c>
      <c r="AB10" s="4" t="n">
        <f aca="false">IFERROR(T10/(T10+U10)*100,"")</f>
        <v>99.2315752706951</v>
      </c>
      <c r="AC10" s="4" t="n">
        <f aca="false">IFERROR(Z10*AA10*AB10/10000,"")</f>
        <v>75.5134567885834</v>
      </c>
      <c r="AD10" s="3"/>
    </row>
    <row r="11" customFormat="false" ht="15" hidden="false" customHeight="false" outlineLevel="0" collapsed="false">
      <c r="A11" s="6" t="s">
        <v>54</v>
      </c>
      <c r="B11" s="6" t="s">
        <v>31</v>
      </c>
      <c r="C11" s="6" t="s">
        <v>76</v>
      </c>
      <c r="D11" s="6" t="s">
        <v>33</v>
      </c>
      <c r="E11" s="6" t="s">
        <v>34</v>
      </c>
      <c r="F11" s="6" t="s">
        <v>35</v>
      </c>
      <c r="G11" s="6" t="s">
        <v>77</v>
      </c>
      <c r="H11" s="6" t="s">
        <v>37</v>
      </c>
      <c r="I11" s="6" t="s">
        <v>38</v>
      </c>
      <c r="J11" s="6" t="s">
        <v>65</v>
      </c>
      <c r="K11" s="6" t="s">
        <v>66</v>
      </c>
      <c r="L11" s="6" t="s">
        <v>41</v>
      </c>
      <c r="M11" s="6" t="s">
        <v>42</v>
      </c>
      <c r="N11" s="7" t="n">
        <f aca="false">IFERROR(MOD(TIMEVALUE(M11)-TIMEVALUE(L11),1)*1440,"")</f>
        <v>480</v>
      </c>
      <c r="O11" s="8" t="n">
        <v>20</v>
      </c>
      <c r="P11" s="8" t="n">
        <v>90</v>
      </c>
      <c r="Q11" s="6" t="s">
        <v>43</v>
      </c>
      <c r="R11" s="6" t="s">
        <v>44</v>
      </c>
      <c r="S11" s="7" t="n">
        <f aca="false">IFERROR(N11-N(O11)-N(P11),"")</f>
        <v>370</v>
      </c>
      <c r="T11" s="8" t="n">
        <v>8539</v>
      </c>
      <c r="U11" s="8" t="n">
        <v>528</v>
      </c>
      <c r="V11" s="6" t="s">
        <v>45</v>
      </c>
      <c r="W11" s="8" t="n">
        <v>1400</v>
      </c>
      <c r="X11" s="8" t="n">
        <v>9184</v>
      </c>
      <c r="Y11" s="7" t="n">
        <f aca="false">IFERROR(T11/X11*100,"")</f>
        <v>92.9769163763066</v>
      </c>
      <c r="Z11" s="7" t="n">
        <f aca="false">IFERROR(S11/N11*100,"")</f>
        <v>77.0833333333333</v>
      </c>
      <c r="AA11" s="7" t="n">
        <f aca="false">IFERROR(T11/(W11*S11/60)*100,"")</f>
        <v>98.9073359073359</v>
      </c>
      <c r="AB11" s="7" t="n">
        <f aca="false">IFERROR(T11/(T11+U11)*100,"")</f>
        <v>94.1766846807103</v>
      </c>
      <c r="AC11" s="7" t="n">
        <f aca="false">IFERROR(Z11*AA11*AB11/10000,"")</f>
        <v>71.8013134364808</v>
      </c>
      <c r="AD11" s="6"/>
    </row>
    <row r="12" customFormat="false" ht="15" hidden="false" customHeight="false" outlineLevel="0" collapsed="false">
      <c r="A12" s="3" t="s">
        <v>54</v>
      </c>
      <c r="B12" s="3" t="s">
        <v>31</v>
      </c>
      <c r="C12" s="3" t="s">
        <v>70</v>
      </c>
      <c r="D12" s="3" t="s">
        <v>33</v>
      </c>
      <c r="E12" s="3" t="s">
        <v>46</v>
      </c>
      <c r="F12" s="3" t="s">
        <v>35</v>
      </c>
      <c r="G12" s="3" t="s">
        <v>78</v>
      </c>
      <c r="H12" s="3" t="s">
        <v>37</v>
      </c>
      <c r="I12" s="3" t="s">
        <v>38</v>
      </c>
      <c r="J12" s="3" t="s">
        <v>55</v>
      </c>
      <c r="K12" s="3" t="s">
        <v>56</v>
      </c>
      <c r="L12" s="3" t="s">
        <v>41</v>
      </c>
      <c r="M12" s="3" t="s">
        <v>42</v>
      </c>
      <c r="N12" s="4" t="n">
        <f aca="false">IFERROR(MOD(TIMEVALUE(M12)-TIMEVALUE(L12),1)*1440,"")</f>
        <v>480</v>
      </c>
      <c r="O12" s="5" t="n">
        <v>20</v>
      </c>
      <c r="P12" s="5" t="n">
        <v>80</v>
      </c>
      <c r="Q12" s="3" t="s">
        <v>79</v>
      </c>
      <c r="R12" s="3" t="s">
        <v>50</v>
      </c>
      <c r="S12" s="4" t="n">
        <f aca="false">IFERROR(N12-N(O12)-N(P12),"")</f>
        <v>380</v>
      </c>
      <c r="T12" s="5" t="n">
        <v>6290</v>
      </c>
      <c r="U12" s="5" t="n">
        <v>72</v>
      </c>
      <c r="V12" s="3" t="s">
        <v>45</v>
      </c>
      <c r="W12" s="5" t="n">
        <v>1200</v>
      </c>
      <c r="X12" s="5" t="n">
        <v>7871</v>
      </c>
      <c r="Y12" s="4" t="n">
        <f aca="false">IFERROR(T12/X12*100,"")</f>
        <v>79.9136069114471</v>
      </c>
      <c r="Z12" s="4" t="n">
        <f aca="false">IFERROR(S12/N12*100,"")</f>
        <v>79.1666666666667</v>
      </c>
      <c r="AA12" s="4" t="n">
        <f aca="false">IFERROR(T12/(W12*S12/60)*100,"")</f>
        <v>82.7631578947368</v>
      </c>
      <c r="AB12" s="4" t="n">
        <f aca="false">IFERROR(T12/(T12+U12)*100,"")</f>
        <v>98.8682804149639</v>
      </c>
      <c r="AC12" s="4" t="n">
        <f aca="false">IFERROR(Z12*AA12*AB12/10000,"")</f>
        <v>64.7793212302211</v>
      </c>
      <c r="AD12" s="3"/>
    </row>
    <row r="13" customFormat="false" ht="15" hidden="false" customHeight="false" outlineLevel="0" collapsed="false">
      <c r="A13" s="6" t="s">
        <v>54</v>
      </c>
      <c r="B13" s="6" t="s">
        <v>31</v>
      </c>
      <c r="C13" s="6" t="s">
        <v>76</v>
      </c>
      <c r="D13" s="6" t="s">
        <v>33</v>
      </c>
      <c r="E13" s="6" t="s">
        <v>51</v>
      </c>
      <c r="F13" s="6" t="s">
        <v>52</v>
      </c>
      <c r="G13" s="6" t="s">
        <v>80</v>
      </c>
      <c r="H13" s="6" t="s">
        <v>37</v>
      </c>
      <c r="I13" s="6" t="s">
        <v>38</v>
      </c>
      <c r="J13" s="6" t="s">
        <v>39</v>
      </c>
      <c r="K13" s="6" t="s">
        <v>40</v>
      </c>
      <c r="L13" s="6" t="s">
        <v>41</v>
      </c>
      <c r="M13" s="6" t="s">
        <v>42</v>
      </c>
      <c r="N13" s="7" t="n">
        <f aca="false">IFERROR(MOD(TIMEVALUE(M13)-TIMEVALUE(L13),1)*1440,"")</f>
        <v>480</v>
      </c>
      <c r="O13" s="8" t="n">
        <v>0</v>
      </c>
      <c r="P13" s="8" t="n">
        <v>45</v>
      </c>
      <c r="Q13" s="6" t="s">
        <v>57</v>
      </c>
      <c r="R13" s="6" t="s">
        <v>50</v>
      </c>
      <c r="S13" s="7" t="n">
        <f aca="false">IFERROR(N13-N(O13)-N(P13),"")</f>
        <v>435</v>
      </c>
      <c r="T13" s="8" t="n">
        <v>6182</v>
      </c>
      <c r="U13" s="8" t="n">
        <v>449</v>
      </c>
      <c r="V13" s="6" t="s">
        <v>45</v>
      </c>
      <c r="W13" s="8" t="n">
        <v>950</v>
      </c>
      <c r="X13" s="8" t="n">
        <v>6232</v>
      </c>
      <c r="Y13" s="7" t="n">
        <f aca="false">IFERROR(T13/X13*100,"")</f>
        <v>99.1976893453145</v>
      </c>
      <c r="Z13" s="7" t="n">
        <f aca="false">IFERROR(S13/N13*100,"")</f>
        <v>90.625</v>
      </c>
      <c r="AA13" s="7" t="n">
        <f aca="false">IFERROR(T13/(W13*S13/60)*100,"")</f>
        <v>89.7568058076225</v>
      </c>
      <c r="AB13" s="7" t="n">
        <f aca="false">IFERROR(T13/(T13+U13)*100,"")</f>
        <v>93.2287739405821</v>
      </c>
      <c r="AC13" s="7" t="n">
        <f aca="false">IFERROR(Z13*AA13*AB13/10000,"")</f>
        <v>75.8342474342998</v>
      </c>
      <c r="AD13" s="6"/>
    </row>
    <row r="14" customFormat="false" ht="15" hidden="false" customHeight="false" outlineLevel="0" collapsed="false">
      <c r="A14" s="3" t="s">
        <v>54</v>
      </c>
      <c r="B14" s="3" t="s">
        <v>58</v>
      </c>
      <c r="C14" s="3" t="s">
        <v>59</v>
      </c>
      <c r="D14" s="3" t="s">
        <v>60</v>
      </c>
      <c r="E14" s="3" t="s">
        <v>34</v>
      </c>
      <c r="F14" s="3" t="s">
        <v>35</v>
      </c>
      <c r="G14" s="3" t="s">
        <v>81</v>
      </c>
      <c r="H14" s="3" t="s">
        <v>37</v>
      </c>
      <c r="I14" s="3" t="s">
        <v>82</v>
      </c>
      <c r="J14" s="3" t="s">
        <v>39</v>
      </c>
      <c r="K14" s="3" t="s">
        <v>40</v>
      </c>
      <c r="L14" s="3" t="s">
        <v>42</v>
      </c>
      <c r="M14" s="3" t="s">
        <v>63</v>
      </c>
      <c r="N14" s="4" t="n">
        <f aca="false">IFERROR(MOD(TIMEVALUE(M14)-TIMEVALUE(L14),1)*1440,"")</f>
        <v>480</v>
      </c>
      <c r="O14" s="5" t="n">
        <v>20</v>
      </c>
      <c r="P14" s="5" t="n">
        <v>0</v>
      </c>
      <c r="Q14" s="3"/>
      <c r="R14" s="3"/>
      <c r="S14" s="4" t="n">
        <f aca="false">IFERROR(N14-N(O14)-N(P14),"")</f>
        <v>460</v>
      </c>
      <c r="T14" s="5" t="n">
        <v>5885</v>
      </c>
      <c r="U14" s="5" t="n">
        <v>23</v>
      </c>
      <c r="V14" s="3" t="s">
        <v>45</v>
      </c>
      <c r="W14" s="5" t="n">
        <v>950</v>
      </c>
      <c r="X14" s="5" t="n">
        <v>6232</v>
      </c>
      <c r="Y14" s="4" t="n">
        <f aca="false">IFERROR(T14/X14*100,"")</f>
        <v>94.4319640564827</v>
      </c>
      <c r="Z14" s="4" t="n">
        <f aca="false">IFERROR(S14/N14*100,"")</f>
        <v>95.8333333333333</v>
      </c>
      <c r="AA14" s="4" t="n">
        <f aca="false">IFERROR(T14/(W14*S14/60)*100,"")</f>
        <v>80.8009153318078</v>
      </c>
      <c r="AB14" s="4" t="n">
        <f aca="false">IFERROR(T14/(T14+U14)*100,"")</f>
        <v>99.6106973595125</v>
      </c>
      <c r="AC14" s="4" t="n">
        <f aca="false">IFERROR(Z14*AA14*AB14/10000,"")</f>
        <v>77.1327571000962</v>
      </c>
      <c r="AD14" s="3"/>
    </row>
    <row r="15" customFormat="false" ht="15" hidden="false" customHeight="false" outlineLevel="0" collapsed="false">
      <c r="A15" s="6" t="s">
        <v>54</v>
      </c>
      <c r="B15" s="6" t="s">
        <v>58</v>
      </c>
      <c r="C15" s="6" t="s">
        <v>76</v>
      </c>
      <c r="D15" s="6" t="s">
        <v>60</v>
      </c>
      <c r="E15" s="6" t="s">
        <v>46</v>
      </c>
      <c r="F15" s="6" t="s">
        <v>35</v>
      </c>
      <c r="G15" s="6" t="s">
        <v>83</v>
      </c>
      <c r="H15" s="6" t="s">
        <v>62</v>
      </c>
      <c r="I15" s="6"/>
      <c r="J15" s="6" t="s">
        <v>65</v>
      </c>
      <c r="K15" s="6" t="s">
        <v>66</v>
      </c>
      <c r="L15" s="6" t="s">
        <v>42</v>
      </c>
      <c r="M15" s="6" t="s">
        <v>63</v>
      </c>
      <c r="N15" s="7" t="n">
        <f aca="false">IFERROR(MOD(TIMEVALUE(M15)-TIMEVALUE(L15),1)*1440,"")</f>
        <v>480</v>
      </c>
      <c r="O15" s="8" t="n">
        <v>20</v>
      </c>
      <c r="P15" s="8" t="n">
        <v>45</v>
      </c>
      <c r="Q15" s="6" t="s">
        <v>43</v>
      </c>
      <c r="R15" s="6" t="s">
        <v>44</v>
      </c>
      <c r="S15" s="7" t="n">
        <f aca="false">IFERROR(N15-N(O15)-N(P15),"")</f>
        <v>415</v>
      </c>
      <c r="T15" s="8" t="n">
        <v>7839</v>
      </c>
      <c r="U15" s="8" t="n">
        <v>350</v>
      </c>
      <c r="V15" s="6" t="s">
        <v>45</v>
      </c>
      <c r="W15" s="8" t="n">
        <v>1400</v>
      </c>
      <c r="X15" s="8" t="n">
        <v>9184</v>
      </c>
      <c r="Y15" s="7" t="n">
        <f aca="false">IFERROR(T15/X15*100,"")</f>
        <v>85.3549651567944</v>
      </c>
      <c r="Z15" s="7" t="n">
        <f aca="false">IFERROR(S15/N15*100,"")</f>
        <v>86.4583333333333</v>
      </c>
      <c r="AA15" s="7" t="n">
        <f aca="false">IFERROR(T15/(W15*S15/60)*100,"")</f>
        <v>80.9535283993115</v>
      </c>
      <c r="AB15" s="7" t="n">
        <f aca="false">IFERROR(T15/(T15+U15)*100,"")</f>
        <v>95.7259738673831</v>
      </c>
      <c r="AC15" s="7" t="n">
        <f aca="false">IFERROR(Z15*AA15*AB15/10000,"")</f>
        <v>66.9996347452157</v>
      </c>
      <c r="AD15" s="6"/>
    </row>
    <row r="16" customFormat="false" ht="15" hidden="false" customHeight="false" outlineLevel="0" collapsed="false">
      <c r="A16" s="3" t="s">
        <v>54</v>
      </c>
      <c r="B16" s="3" t="s">
        <v>58</v>
      </c>
      <c r="C16" s="3" t="s">
        <v>59</v>
      </c>
      <c r="D16" s="3" t="s">
        <v>60</v>
      </c>
      <c r="E16" s="3" t="s">
        <v>51</v>
      </c>
      <c r="F16" s="3" t="s">
        <v>52</v>
      </c>
      <c r="G16" s="3" t="s">
        <v>84</v>
      </c>
      <c r="H16" s="3" t="s">
        <v>62</v>
      </c>
      <c r="I16" s="3"/>
      <c r="J16" s="3" t="s">
        <v>39</v>
      </c>
      <c r="K16" s="3" t="s">
        <v>40</v>
      </c>
      <c r="L16" s="3" t="s">
        <v>42</v>
      </c>
      <c r="M16" s="3"/>
      <c r="N16" s="4" t="str">
        <f aca="false">IFERROR(MOD(TIMEVALUE(M16)-TIMEVALUE(L16),1)*1440,"")</f>
        <v/>
      </c>
      <c r="O16" s="5" t="n">
        <v>45</v>
      </c>
      <c r="P16" s="5" t="n">
        <v>0</v>
      </c>
      <c r="Q16" s="3"/>
      <c r="R16" s="3"/>
      <c r="S16" s="4" t="str">
        <f aca="false">IFERROR(N16-N(O16)-N(P16),"")</f>
        <v/>
      </c>
      <c r="T16" s="5" t="n">
        <v>5410</v>
      </c>
      <c r="U16" s="5" t="n">
        <v>50</v>
      </c>
      <c r="V16" s="3" t="s">
        <v>45</v>
      </c>
      <c r="W16" s="5" t="n">
        <v>950</v>
      </c>
      <c r="X16" s="5" t="n">
        <v>6232</v>
      </c>
      <c r="Y16" s="4" t="n">
        <f aca="false">IFERROR(T16/X16*100,"")</f>
        <v>86.8100128369705</v>
      </c>
      <c r="Z16" s="4" t="str">
        <f aca="false">IFERROR(S16/N16*100,"")</f>
        <v/>
      </c>
      <c r="AA16" s="4" t="str">
        <f aca="false">IFERROR(T16/(W16*S16/60)*100,"")</f>
        <v/>
      </c>
      <c r="AB16" s="4" t="n">
        <f aca="false">IFERROR(T16/(T16+U16)*100,"")</f>
        <v>99.0842490842491</v>
      </c>
      <c r="AC16" s="4" t="str">
        <f aca="false">IFERROR(Z16*AA16*AB16/10000,"")</f>
        <v/>
      </c>
      <c r="AD16" s="3"/>
    </row>
    <row r="17" customFormat="false" ht="15" hidden="false" customHeight="false" outlineLevel="0" collapsed="false">
      <c r="A17" s="6" t="s">
        <v>54</v>
      </c>
      <c r="B17" s="6" t="s">
        <v>69</v>
      </c>
      <c r="C17" s="6" t="s">
        <v>67</v>
      </c>
      <c r="D17" s="6" t="s">
        <v>71</v>
      </c>
      <c r="E17" s="6" t="s">
        <v>34</v>
      </c>
      <c r="F17" s="6" t="s">
        <v>35</v>
      </c>
      <c r="G17" s="6" t="s">
        <v>85</v>
      </c>
      <c r="H17" s="6" t="s">
        <v>37</v>
      </c>
      <c r="I17" s="6" t="s">
        <v>82</v>
      </c>
      <c r="J17" s="6" t="s">
        <v>65</v>
      </c>
      <c r="K17" s="6" t="s">
        <v>66</v>
      </c>
      <c r="L17" s="6" t="s">
        <v>63</v>
      </c>
      <c r="M17" s="6" t="s">
        <v>41</v>
      </c>
      <c r="N17" s="7" t="n">
        <f aca="false">IFERROR(MOD(TIMEVALUE(M17)-TIMEVALUE(L17),1)*1440,"")</f>
        <v>480</v>
      </c>
      <c r="O17" s="8" t="n">
        <v>0</v>
      </c>
      <c r="P17" s="8" t="n">
        <v>15</v>
      </c>
      <c r="Q17" s="6" t="s">
        <v>57</v>
      </c>
      <c r="R17" s="6" t="s">
        <v>50</v>
      </c>
      <c r="S17" s="7" t="n">
        <f aca="false">IFERROR(N17-N(O17)-N(P17),"")</f>
        <v>465</v>
      </c>
      <c r="T17" s="8" t="n">
        <v>9543</v>
      </c>
      <c r="U17" s="8" t="n">
        <v>163</v>
      </c>
      <c r="V17" s="6" t="s">
        <v>45</v>
      </c>
      <c r="W17" s="8" t="n">
        <v>1400</v>
      </c>
      <c r="X17" s="8" t="n">
        <v>9184</v>
      </c>
      <c r="Y17" s="7" t="n">
        <f aca="false">IFERROR(T17/X17*100,"")</f>
        <v>103.908972125436</v>
      </c>
      <c r="Z17" s="7" t="n">
        <f aca="false">IFERROR(S17/N17*100,"")</f>
        <v>96.875</v>
      </c>
      <c r="AA17" s="7" t="n">
        <f aca="false">IFERROR(T17/(W17*S17/60)*100,"")</f>
        <v>87.9539170506912</v>
      </c>
      <c r="AB17" s="7" t="n">
        <f aca="false">IFERROR(T17/(T17+U17)*100,"")</f>
        <v>98.3206264166495</v>
      </c>
      <c r="AC17" s="7" t="n">
        <f aca="false">IFERROR(Z17*AA17*AB17/10000,"")</f>
        <v>83.7744408834005</v>
      </c>
      <c r="AD17" s="6"/>
    </row>
    <row r="18" customFormat="false" ht="15" hidden="false" customHeight="false" outlineLevel="0" collapsed="false">
      <c r="A18" s="3" t="s">
        <v>54</v>
      </c>
      <c r="B18" s="3" t="s">
        <v>69</v>
      </c>
      <c r="C18" s="3" t="s">
        <v>76</v>
      </c>
      <c r="D18" s="3" t="s">
        <v>71</v>
      </c>
      <c r="E18" s="3" t="s">
        <v>46</v>
      </c>
      <c r="F18" s="3" t="s">
        <v>35</v>
      </c>
      <c r="G18" s="3" t="s">
        <v>86</v>
      </c>
      <c r="H18" s="3" t="s">
        <v>62</v>
      </c>
      <c r="I18" s="3"/>
      <c r="J18" s="3" t="s">
        <v>65</v>
      </c>
      <c r="K18" s="3" t="s">
        <v>66</v>
      </c>
      <c r="L18" s="3" t="s">
        <v>63</v>
      </c>
      <c r="M18" s="3" t="s">
        <v>41</v>
      </c>
      <c r="N18" s="4" t="n">
        <f aca="false">IFERROR(MOD(TIMEVALUE(M18)-TIMEVALUE(L18),1)*1440,"")</f>
        <v>480</v>
      </c>
      <c r="O18" s="5" t="n">
        <v>20</v>
      </c>
      <c r="P18" s="5" t="n">
        <v>50</v>
      </c>
      <c r="Q18" s="3" t="s">
        <v>87</v>
      </c>
      <c r="R18" s="3" t="s">
        <v>50</v>
      </c>
      <c r="S18" s="4" t="n">
        <f aca="false">IFERROR(N18-N(O18)-N(P18),"")</f>
        <v>410</v>
      </c>
      <c r="T18" s="5" t="n">
        <v>7819</v>
      </c>
      <c r="U18" s="5" t="n">
        <v>584</v>
      </c>
      <c r="V18" s="3" t="s">
        <v>45</v>
      </c>
      <c r="W18" s="5" t="n">
        <v>1400</v>
      </c>
      <c r="X18" s="5" t="n">
        <v>9184</v>
      </c>
      <c r="Y18" s="4" t="n">
        <f aca="false">IFERROR(T18/X18*100,"")</f>
        <v>85.1371951219512</v>
      </c>
      <c r="Z18" s="4" t="n">
        <f aca="false">IFERROR(S18/N18*100,"")</f>
        <v>85.4166666666667</v>
      </c>
      <c r="AA18" s="4" t="n">
        <f aca="false">IFERROR(T18/(W18*S18/60)*100,"")</f>
        <v>81.7317073170732</v>
      </c>
      <c r="AB18" s="4" t="n">
        <f aca="false">IFERROR(T18/(T18+U18)*100,"")</f>
        <v>93.0501011543497</v>
      </c>
      <c r="AC18" s="4" t="n">
        <f aca="false">IFERROR(Z18*AA18*AB18/10000,"")</f>
        <v>64.9606018683803</v>
      </c>
      <c r="AD18" s="3"/>
    </row>
    <row r="19" customFormat="false" ht="15" hidden="false" customHeight="false" outlineLevel="0" collapsed="false">
      <c r="A19" s="6" t="s">
        <v>54</v>
      </c>
      <c r="B19" s="6" t="s">
        <v>69</v>
      </c>
      <c r="C19" s="6" t="s">
        <v>70</v>
      </c>
      <c r="D19" s="6" t="s">
        <v>71</v>
      </c>
      <c r="E19" s="6" t="s">
        <v>51</v>
      </c>
      <c r="F19" s="6" t="s">
        <v>52</v>
      </c>
      <c r="G19" s="6" t="s">
        <v>88</v>
      </c>
      <c r="H19" s="6" t="s">
        <v>62</v>
      </c>
      <c r="I19" s="6"/>
      <c r="J19" s="6" t="s">
        <v>55</v>
      </c>
      <c r="K19" s="6" t="s">
        <v>56</v>
      </c>
      <c r="L19" s="6" t="s">
        <v>63</v>
      </c>
      <c r="M19" s="6" t="s">
        <v>41</v>
      </c>
      <c r="N19" s="7" t="n">
        <f aca="false">IFERROR(MOD(TIMEVALUE(M19)-TIMEVALUE(L19),1)*1440,"")</f>
        <v>480</v>
      </c>
      <c r="O19" s="8" t="n">
        <v>0</v>
      </c>
      <c r="P19" s="8" t="n">
        <v>30</v>
      </c>
      <c r="Q19" s="6" t="s">
        <v>74</v>
      </c>
      <c r="R19" s="6" t="s">
        <v>50</v>
      </c>
      <c r="S19" s="7" t="n">
        <f aca="false">IFERROR(N19-N(O19)-N(P19),"")</f>
        <v>450</v>
      </c>
      <c r="T19" s="8" t="n">
        <v>7789</v>
      </c>
      <c r="U19" s="8" t="n">
        <v>153</v>
      </c>
      <c r="V19" s="6" t="s">
        <v>45</v>
      </c>
      <c r="W19" s="8" t="n">
        <v>1200</v>
      </c>
      <c r="X19" s="8" t="n">
        <v>7871</v>
      </c>
      <c r="Y19" s="7" t="n">
        <f aca="false">IFERROR(T19/X19*100,"")</f>
        <v>98.9582009909796</v>
      </c>
      <c r="Z19" s="7" t="n">
        <f aca="false">IFERROR(S19/N19*100,"")</f>
        <v>93.75</v>
      </c>
      <c r="AA19" s="7" t="n">
        <f aca="false">IFERROR(T19/(W19*S19/60)*100,"")</f>
        <v>86.5444444444444</v>
      </c>
      <c r="AB19" s="7" t="n">
        <f aca="false">IFERROR(T19/(T19+U19)*100,"")</f>
        <v>98.0735331150844</v>
      </c>
      <c r="AC19" s="7" t="n">
        <f aca="false">IFERROR(Z19*AA19*AB19/10000,"")</f>
        <v>79.572369732645</v>
      </c>
      <c r="AD19" s="6"/>
    </row>
    <row r="20" customFormat="false" ht="15" hidden="false" customHeight="false" outlineLevel="0" collapsed="false">
      <c r="A20" s="3" t="s">
        <v>48</v>
      </c>
      <c r="B20" s="3" t="s">
        <v>31</v>
      </c>
      <c r="C20" s="3" t="s">
        <v>67</v>
      </c>
      <c r="D20" s="3" t="s">
        <v>33</v>
      </c>
      <c r="E20" s="3" t="s">
        <v>34</v>
      </c>
      <c r="F20" s="3" t="s">
        <v>35</v>
      </c>
      <c r="G20" s="3" t="s">
        <v>89</v>
      </c>
      <c r="H20" s="3" t="s">
        <v>37</v>
      </c>
      <c r="I20" s="3" t="s">
        <v>38</v>
      </c>
      <c r="J20" s="3" t="s">
        <v>55</v>
      </c>
      <c r="K20" s="3" t="s">
        <v>56</v>
      </c>
      <c r="L20" s="3" t="s">
        <v>41</v>
      </c>
      <c r="M20" s="3" t="s">
        <v>42</v>
      </c>
      <c r="N20" s="4" t="n">
        <f aca="false">IFERROR(MOD(TIMEVALUE(M20)-TIMEVALUE(L20),1)*1440,"")</f>
        <v>480</v>
      </c>
      <c r="O20" s="5" t="n">
        <v>0</v>
      </c>
      <c r="P20" s="5" t="n">
        <v>0</v>
      </c>
      <c r="Q20" s="3"/>
      <c r="R20" s="3"/>
      <c r="S20" s="4" t="n">
        <f aca="false">IFERROR(N20-N(O20)-N(P20),"")</f>
        <v>480</v>
      </c>
      <c r="T20" s="5" t="n">
        <v>8287</v>
      </c>
      <c r="U20" s="5" t="n">
        <v>108</v>
      </c>
      <c r="V20" s="3" t="s">
        <v>45</v>
      </c>
      <c r="W20" s="5" t="n">
        <v>1200</v>
      </c>
      <c r="X20" s="5" t="n">
        <v>7871</v>
      </c>
      <c r="Y20" s="4" t="n">
        <f aca="false">IFERROR(T20/X20*100,"")</f>
        <v>105.285224240884</v>
      </c>
      <c r="Z20" s="4" t="n">
        <f aca="false">IFERROR(S20/N20*100,"")</f>
        <v>100</v>
      </c>
      <c r="AA20" s="4" t="n">
        <f aca="false">IFERROR(T20/(W20*S20/60)*100,"")</f>
        <v>86.3229166666667</v>
      </c>
      <c r="AB20" s="4" t="n">
        <f aca="false">IFERROR(T20/(T20+U20)*100,"")</f>
        <v>98.7135199523526</v>
      </c>
      <c r="AC20" s="4" t="n">
        <f aca="false">IFERROR(Z20*AA20*AB20/10000,"")</f>
        <v>85.2123895672027</v>
      </c>
      <c r="AD20" s="3"/>
    </row>
    <row r="21" customFormat="false" ht="15" hidden="false" customHeight="false" outlineLevel="0" collapsed="false">
      <c r="A21" s="6" t="s">
        <v>48</v>
      </c>
      <c r="B21" s="6" t="s">
        <v>31</v>
      </c>
      <c r="C21" s="6" t="s">
        <v>67</v>
      </c>
      <c r="D21" s="6" t="s">
        <v>33</v>
      </c>
      <c r="E21" s="6" t="s">
        <v>46</v>
      </c>
      <c r="F21" s="6" t="s">
        <v>35</v>
      </c>
      <c r="G21" s="6" t="s">
        <v>90</v>
      </c>
      <c r="H21" s="6" t="s">
        <v>37</v>
      </c>
      <c r="I21" s="6" t="s">
        <v>91</v>
      </c>
      <c r="J21" s="6" t="s">
        <v>39</v>
      </c>
      <c r="K21" s="6" t="s">
        <v>40</v>
      </c>
      <c r="L21" s="6" t="s">
        <v>41</v>
      </c>
      <c r="M21" s="6" t="s">
        <v>42</v>
      </c>
      <c r="N21" s="7" t="n">
        <f aca="false">IFERROR(MOD(TIMEVALUE(M21)-TIMEVALUE(L21),1)*1440,"")</f>
        <v>480</v>
      </c>
      <c r="O21" s="8" t="n">
        <v>30</v>
      </c>
      <c r="P21" s="8" t="n">
        <v>65</v>
      </c>
      <c r="Q21" s="6" t="s">
        <v>79</v>
      </c>
      <c r="R21" s="6" t="s">
        <v>50</v>
      </c>
      <c r="S21" s="7" t="n">
        <f aca="false">IFERROR(N21-N(O21)-N(P21),"")</f>
        <v>385</v>
      </c>
      <c r="T21" s="8" t="n">
        <v>5469</v>
      </c>
      <c r="U21" s="8" t="n">
        <v>31</v>
      </c>
      <c r="V21" s="6" t="s">
        <v>45</v>
      </c>
      <c r="W21" s="8" t="n">
        <v>950</v>
      </c>
      <c r="X21" s="8" t="n">
        <v>6232</v>
      </c>
      <c r="Y21" s="7" t="n">
        <f aca="false">IFERROR(T21/X21*100,"")</f>
        <v>87.7567394094994</v>
      </c>
      <c r="Z21" s="7" t="n">
        <f aca="false">IFERROR(S21/N21*100,"")</f>
        <v>80.2083333333333</v>
      </c>
      <c r="AA21" s="7" t="n">
        <f aca="false">IFERROR(T21/(W21*S21/60)*100,"")</f>
        <v>89.717019822283</v>
      </c>
      <c r="AB21" s="7" t="n">
        <f aca="false">IFERROR(T21/(T21+U21)*100,"")</f>
        <v>99.4363636363636</v>
      </c>
      <c r="AC21" s="7" t="n">
        <f aca="false">IFERROR(Z21*AA21*AB21/10000,"")</f>
        <v>71.5549306220096</v>
      </c>
      <c r="AD21" s="6"/>
    </row>
    <row r="22" customFormat="false" ht="15" hidden="false" customHeight="false" outlineLevel="0" collapsed="false">
      <c r="A22" s="3" t="s">
        <v>48</v>
      </c>
      <c r="B22" s="3" t="s">
        <v>31</v>
      </c>
      <c r="C22" s="3" t="s">
        <v>32</v>
      </c>
      <c r="D22" s="3" t="s">
        <v>33</v>
      </c>
      <c r="E22" s="3" t="s">
        <v>51</v>
      </c>
      <c r="F22" s="3" t="s">
        <v>52</v>
      </c>
      <c r="G22" s="3" t="s">
        <v>92</v>
      </c>
      <c r="H22" s="3" t="s">
        <v>37</v>
      </c>
      <c r="I22" s="3" t="s">
        <v>82</v>
      </c>
      <c r="J22" s="3" t="s">
        <v>55</v>
      </c>
      <c r="K22" s="3" t="s">
        <v>56</v>
      </c>
      <c r="L22" s="3" t="s">
        <v>41</v>
      </c>
      <c r="M22" s="3" t="s">
        <v>42</v>
      </c>
      <c r="N22" s="4" t="n">
        <f aca="false">IFERROR(MOD(TIMEVALUE(M22)-TIMEVALUE(L22),1)*1440,"")</f>
        <v>480</v>
      </c>
      <c r="O22" s="5" t="n">
        <v>15</v>
      </c>
      <c r="P22" s="5" t="n">
        <v>0</v>
      </c>
      <c r="Q22" s="3"/>
      <c r="R22" s="3"/>
      <c r="S22" s="4" t="n">
        <f aca="false">IFERROR(N22-N(O22)-N(P22),"")</f>
        <v>465</v>
      </c>
      <c r="T22" s="5" t="n">
        <v>7639</v>
      </c>
      <c r="U22" s="5" t="n">
        <v>43</v>
      </c>
      <c r="V22" s="3" t="s">
        <v>45</v>
      </c>
      <c r="W22" s="5" t="n">
        <v>1200</v>
      </c>
      <c r="X22" s="5" t="n">
        <v>7871</v>
      </c>
      <c r="Y22" s="4" t="n">
        <f aca="false">IFERROR(T22/X22*100,"")</f>
        <v>97.0524710964299</v>
      </c>
      <c r="Z22" s="4" t="n">
        <f aca="false">IFERROR(S22/N22*100,"")</f>
        <v>96.875</v>
      </c>
      <c r="AA22" s="4" t="n">
        <f aca="false">IFERROR(T22/(W22*S22/60)*100,"")</f>
        <v>82.1397849462366</v>
      </c>
      <c r="AB22" s="4" t="n">
        <f aca="false">IFERROR(T22/(T22+U22)*100,"")</f>
        <v>99.4402499349128</v>
      </c>
      <c r="AC22" s="4" t="n">
        <f aca="false">IFERROR(Z22*AA22*AB22/10000,"")</f>
        <v>79.1275072138332</v>
      </c>
      <c r="AD22" s="3"/>
    </row>
    <row r="23" customFormat="false" ht="15" hidden="false" customHeight="false" outlineLevel="0" collapsed="false">
      <c r="A23" s="6" t="s">
        <v>48</v>
      </c>
      <c r="B23" s="6" t="s">
        <v>58</v>
      </c>
      <c r="C23" s="6" t="s">
        <v>76</v>
      </c>
      <c r="D23" s="6" t="s">
        <v>60</v>
      </c>
      <c r="E23" s="6" t="s">
        <v>34</v>
      </c>
      <c r="F23" s="6" t="s">
        <v>35</v>
      </c>
      <c r="G23" s="6" t="s">
        <v>93</v>
      </c>
      <c r="H23" s="6" t="s">
        <v>37</v>
      </c>
      <c r="I23" s="6" t="s">
        <v>82</v>
      </c>
      <c r="J23" s="6" t="s">
        <v>39</v>
      </c>
      <c r="K23" s="6" t="s">
        <v>40</v>
      </c>
      <c r="L23" s="6" t="s">
        <v>42</v>
      </c>
      <c r="M23" s="6" t="s">
        <v>63</v>
      </c>
      <c r="N23" s="7" t="n">
        <f aca="false">IFERROR(MOD(TIMEVALUE(M23)-TIMEVALUE(L23),1)*1440,"")</f>
        <v>480</v>
      </c>
      <c r="O23" s="8" t="n">
        <v>15</v>
      </c>
      <c r="P23" s="8" t="n">
        <v>45</v>
      </c>
      <c r="Q23" s="6" t="s">
        <v>57</v>
      </c>
      <c r="R23" s="6" t="s">
        <v>50</v>
      </c>
      <c r="S23" s="7" t="n">
        <f aca="false">IFERROR(N23-N(O23)-N(P23),"")</f>
        <v>420</v>
      </c>
      <c r="T23" s="8" t="n">
        <v>5786</v>
      </c>
      <c r="U23" s="8" t="n">
        <v>447</v>
      </c>
      <c r="V23" s="6" t="s">
        <v>45</v>
      </c>
      <c r="W23" s="8" t="n">
        <v>950</v>
      </c>
      <c r="X23" s="8" t="n">
        <v>6232</v>
      </c>
      <c r="Y23" s="7" t="n">
        <f aca="false">IFERROR(T23/X23*100,"")</f>
        <v>92.8433889602054</v>
      </c>
      <c r="Z23" s="7" t="n">
        <f aca="false">IFERROR(S23/N23*100,"")</f>
        <v>87.5</v>
      </c>
      <c r="AA23" s="7" t="n">
        <f aca="false">IFERROR(T23/(W23*S23/60)*100,"")</f>
        <v>87.0075187969925</v>
      </c>
      <c r="AB23" s="7" t="n">
        <f aca="false">IFERROR(T23/(T23+U23)*100,"")</f>
        <v>92.8284935023263</v>
      </c>
      <c r="AC23" s="7" t="n">
        <f aca="false">IFERROR(Z23*AA23*AB23/10000,"")</f>
        <v>70.6717978163763</v>
      </c>
      <c r="AD23" s="6"/>
    </row>
    <row r="24" customFormat="false" ht="15" hidden="false" customHeight="false" outlineLevel="0" collapsed="false">
      <c r="A24" s="3" t="s">
        <v>48</v>
      </c>
      <c r="B24" s="3" t="s">
        <v>58</v>
      </c>
      <c r="C24" s="3" t="s">
        <v>32</v>
      </c>
      <c r="D24" s="3" t="s">
        <v>60</v>
      </c>
      <c r="E24" s="3" t="s">
        <v>46</v>
      </c>
      <c r="F24" s="3" t="s">
        <v>35</v>
      </c>
      <c r="G24" s="3" t="s">
        <v>94</v>
      </c>
      <c r="H24" s="3" t="s">
        <v>37</v>
      </c>
      <c r="I24" s="3" t="s">
        <v>82</v>
      </c>
      <c r="J24" s="3" t="s">
        <v>39</v>
      </c>
      <c r="K24" s="3" t="s">
        <v>40</v>
      </c>
      <c r="L24" s="3" t="s">
        <v>42</v>
      </c>
      <c r="M24" s="3" t="s">
        <v>63</v>
      </c>
      <c r="N24" s="4" t="n">
        <f aca="false">IFERROR(MOD(TIMEVALUE(M24)-TIMEVALUE(L24),1)*1440,"")</f>
        <v>480</v>
      </c>
      <c r="O24" s="5" t="n">
        <v>0</v>
      </c>
      <c r="P24" s="5" t="n">
        <v>120</v>
      </c>
      <c r="Q24" s="3" t="s">
        <v>95</v>
      </c>
      <c r="R24" s="3" t="s">
        <v>50</v>
      </c>
      <c r="S24" s="4" t="n">
        <f aca="false">IFERROR(N24-N(O24)-N(P24),"")</f>
        <v>360</v>
      </c>
      <c r="T24" s="5" t="n">
        <v>5445</v>
      </c>
      <c r="U24" s="5" t="n">
        <v>58</v>
      </c>
      <c r="V24" s="3" t="s">
        <v>45</v>
      </c>
      <c r="W24" s="5" t="n">
        <v>950</v>
      </c>
      <c r="X24" s="5" t="n">
        <v>6232</v>
      </c>
      <c r="Y24" s="4" t="n">
        <f aca="false">IFERROR(T24/X24*100,"")</f>
        <v>87.3716302952503</v>
      </c>
      <c r="Z24" s="4" t="n">
        <f aca="false">IFERROR(S24/N24*100,"")</f>
        <v>75</v>
      </c>
      <c r="AA24" s="4" t="n">
        <f aca="false">IFERROR(T24/(W24*S24/60)*100,"")</f>
        <v>95.5263157894737</v>
      </c>
      <c r="AB24" s="4" t="n">
        <f aca="false">IFERROR(T24/(T24+U24)*100,"")</f>
        <v>98.9460294384881</v>
      </c>
      <c r="AC24" s="4" t="n">
        <f aca="false">IFERROR(Z24*AA24*AB24/10000,"")</f>
        <v>70.8896224069168</v>
      </c>
      <c r="AD24" s="3"/>
    </row>
    <row r="25" customFormat="false" ht="15" hidden="false" customHeight="false" outlineLevel="0" collapsed="false">
      <c r="A25" s="6" t="s">
        <v>48</v>
      </c>
      <c r="B25" s="6" t="s">
        <v>58</v>
      </c>
      <c r="C25" s="6" t="s">
        <v>59</v>
      </c>
      <c r="D25" s="6" t="s">
        <v>60</v>
      </c>
      <c r="E25" s="6" t="s">
        <v>51</v>
      </c>
      <c r="F25" s="6" t="s">
        <v>52</v>
      </c>
      <c r="G25" s="6" t="s">
        <v>96</v>
      </c>
      <c r="H25" s="6" t="s">
        <v>37</v>
      </c>
      <c r="I25" s="6" t="s">
        <v>38</v>
      </c>
      <c r="J25" s="6" t="s">
        <v>55</v>
      </c>
      <c r="K25" s="6" t="s">
        <v>56</v>
      </c>
      <c r="L25" s="6" t="s">
        <v>42</v>
      </c>
      <c r="M25" s="6" t="s">
        <v>63</v>
      </c>
      <c r="N25" s="7" t="n">
        <f aca="false">IFERROR(MOD(TIMEVALUE(M25)-TIMEVALUE(L25),1)*1440,"")</f>
        <v>480</v>
      </c>
      <c r="O25" s="8" t="n">
        <v>30</v>
      </c>
      <c r="P25" s="8" t="n">
        <v>90</v>
      </c>
      <c r="Q25" s="6" t="s">
        <v>97</v>
      </c>
      <c r="R25" s="6" t="s">
        <v>44</v>
      </c>
      <c r="S25" s="7" t="n">
        <f aca="false">IFERROR(N25-N(O25)-N(P25),"")</f>
        <v>360</v>
      </c>
      <c r="T25" s="8" t="n">
        <v>6364</v>
      </c>
      <c r="U25" s="8" t="n">
        <v>59</v>
      </c>
      <c r="V25" s="6" t="s">
        <v>45</v>
      </c>
      <c r="W25" s="8" t="n">
        <v>1200</v>
      </c>
      <c r="X25" s="8" t="n">
        <v>7871</v>
      </c>
      <c r="Y25" s="7" t="n">
        <f aca="false">IFERROR(T25/X25*100,"")</f>
        <v>80.8537669927582</v>
      </c>
      <c r="Z25" s="7" t="n">
        <f aca="false">IFERROR(S25/N25*100,"")</f>
        <v>75</v>
      </c>
      <c r="AA25" s="7" t="n">
        <f aca="false">IFERROR(T25/(W25*S25/60)*100,"")</f>
        <v>88.3888888888889</v>
      </c>
      <c r="AB25" s="7" t="n">
        <f aca="false">IFERROR(T25/(T25+U25)*100,"")</f>
        <v>99.0814261248638</v>
      </c>
      <c r="AC25" s="7" t="n">
        <f aca="false">IFERROR(Z25*AA25*AB25/10000,"")</f>
        <v>65.6827287352743</v>
      </c>
      <c r="AD25" s="6"/>
    </row>
    <row r="26" customFormat="false" ht="15" hidden="false" customHeight="false" outlineLevel="0" collapsed="false">
      <c r="A26" s="3" t="s">
        <v>48</v>
      </c>
      <c r="B26" s="3" t="s">
        <v>69</v>
      </c>
      <c r="C26" s="3" t="s">
        <v>70</v>
      </c>
      <c r="D26" s="3" t="s">
        <v>71</v>
      </c>
      <c r="E26" s="3" t="s">
        <v>34</v>
      </c>
      <c r="F26" s="3" t="s">
        <v>35</v>
      </c>
      <c r="G26" s="3" t="s">
        <v>98</v>
      </c>
      <c r="H26" s="3" t="s">
        <v>37</v>
      </c>
      <c r="I26" s="3" t="s">
        <v>91</v>
      </c>
      <c r="J26" s="3" t="s">
        <v>55</v>
      </c>
      <c r="K26" s="3" t="s">
        <v>56</v>
      </c>
      <c r="L26" s="3" t="s">
        <v>63</v>
      </c>
      <c r="M26" s="3" t="s">
        <v>41</v>
      </c>
      <c r="N26" s="4" t="n">
        <f aca="false">IFERROR(MOD(TIMEVALUE(M26)-TIMEVALUE(L26),1)*1440,"")</f>
        <v>480</v>
      </c>
      <c r="O26" s="5" t="n">
        <v>20</v>
      </c>
      <c r="P26" s="5" t="n">
        <v>30</v>
      </c>
      <c r="Q26" s="3" t="s">
        <v>74</v>
      </c>
      <c r="R26" s="3" t="s">
        <v>50</v>
      </c>
      <c r="S26" s="4" t="n">
        <f aca="false">IFERROR(N26-N(O26)-N(P26),"")</f>
        <v>430</v>
      </c>
      <c r="T26" s="5" t="n">
        <v>7324</v>
      </c>
      <c r="U26" s="5" t="n">
        <v>144</v>
      </c>
      <c r="V26" s="3" t="s">
        <v>45</v>
      </c>
      <c r="W26" s="5" t="n">
        <v>1200</v>
      </c>
      <c r="X26" s="5" t="n">
        <v>7871</v>
      </c>
      <c r="Y26" s="4" t="n">
        <f aca="false">IFERROR(T26/X26*100,"")</f>
        <v>93.0504383178758</v>
      </c>
      <c r="Z26" s="4" t="n">
        <f aca="false">IFERROR(S26/N26*100,"")</f>
        <v>89.5833333333333</v>
      </c>
      <c r="AA26" s="4" t="n">
        <f aca="false">IFERROR(T26/(W26*S26/60)*100,"")</f>
        <v>85.1627906976744</v>
      </c>
      <c r="AB26" s="4" t="n">
        <f aca="false">IFERROR(T26/(T26+U26)*100,"")</f>
        <v>98.0717728976969</v>
      </c>
      <c r="AC26" s="4" t="n">
        <f aca="false">IFERROR(Z26*AA26*AB26/10000,"")</f>
        <v>74.8205900732012</v>
      </c>
      <c r="AD26" s="3"/>
    </row>
    <row r="27" customFormat="false" ht="15" hidden="false" customHeight="false" outlineLevel="0" collapsed="false">
      <c r="A27" s="6" t="s">
        <v>48</v>
      </c>
      <c r="B27" s="6" t="s">
        <v>69</v>
      </c>
      <c r="C27" s="6" t="s">
        <v>99</v>
      </c>
      <c r="D27" s="6" t="s">
        <v>71</v>
      </c>
      <c r="E27" s="6" t="s">
        <v>46</v>
      </c>
      <c r="F27" s="6" t="s">
        <v>35</v>
      </c>
      <c r="G27" s="6" t="s">
        <v>100</v>
      </c>
      <c r="H27" s="6" t="s">
        <v>37</v>
      </c>
      <c r="I27" s="6" t="s">
        <v>91</v>
      </c>
      <c r="J27" s="6" t="s">
        <v>65</v>
      </c>
      <c r="K27" s="6" t="s">
        <v>66</v>
      </c>
      <c r="L27" s="6" t="s">
        <v>63</v>
      </c>
      <c r="M27" s="6" t="s">
        <v>41</v>
      </c>
      <c r="N27" s="7" t="n">
        <f aca="false">IFERROR(MOD(TIMEVALUE(M27)-TIMEVALUE(L27),1)*1440,"")</f>
        <v>480</v>
      </c>
      <c r="O27" s="8" t="n">
        <v>45</v>
      </c>
      <c r="P27" s="8" t="n">
        <v>165</v>
      </c>
      <c r="Q27" s="6" t="s">
        <v>79</v>
      </c>
      <c r="R27" s="6" t="s">
        <v>50</v>
      </c>
      <c r="S27" s="7" t="n">
        <f aca="false">IFERROR(N27-N(O27)-N(P27),"")</f>
        <v>270</v>
      </c>
      <c r="T27" s="8" t="n">
        <v>5668</v>
      </c>
      <c r="U27" s="8" t="n">
        <v>53</v>
      </c>
      <c r="V27" s="6" t="s">
        <v>45</v>
      </c>
      <c r="W27" s="8" t="n">
        <v>1400</v>
      </c>
      <c r="X27" s="8" t="n">
        <v>9184</v>
      </c>
      <c r="Y27" s="7" t="n">
        <f aca="false">IFERROR(T27/X27*100,"")</f>
        <v>61.7160278745645</v>
      </c>
      <c r="Z27" s="7" t="n">
        <f aca="false">IFERROR(S27/N27*100,"")</f>
        <v>56.25</v>
      </c>
      <c r="AA27" s="7" t="n">
        <f aca="false">IFERROR(T27/(W27*S27/60)*100,"")</f>
        <v>89.968253968254</v>
      </c>
      <c r="AB27" s="7" t="n">
        <f aca="false">IFERROR(T27/(T27+U27)*100,"")</f>
        <v>99.0735885334732</v>
      </c>
      <c r="AC27" s="7" t="n">
        <f aca="false">IFERROR(Z27*AA27*AB27/10000,"")</f>
        <v>50.1383124828327</v>
      </c>
      <c r="AD27" s="6"/>
    </row>
    <row r="28" customFormat="false" ht="15" hidden="false" customHeight="false" outlineLevel="0" collapsed="false">
      <c r="A28" s="3" t="s">
        <v>48</v>
      </c>
      <c r="B28" s="3" t="s">
        <v>69</v>
      </c>
      <c r="C28" s="3" t="s">
        <v>67</v>
      </c>
      <c r="D28" s="3" t="s">
        <v>71</v>
      </c>
      <c r="E28" s="3" t="s">
        <v>51</v>
      </c>
      <c r="F28" s="3" t="s">
        <v>52</v>
      </c>
      <c r="G28" s="3" t="s">
        <v>101</v>
      </c>
      <c r="H28" s="3" t="s">
        <v>37</v>
      </c>
      <c r="I28" s="3" t="s">
        <v>91</v>
      </c>
      <c r="J28" s="3" t="s">
        <v>65</v>
      </c>
      <c r="K28" s="3" t="s">
        <v>66</v>
      </c>
      <c r="L28" s="3" t="s">
        <v>63</v>
      </c>
      <c r="M28" s="3" t="s">
        <v>41</v>
      </c>
      <c r="N28" s="4" t="n">
        <f aca="false">IFERROR(MOD(TIMEVALUE(M28)-TIMEVALUE(L28),1)*1440,"")</f>
        <v>480</v>
      </c>
      <c r="O28" s="5" t="n">
        <v>45</v>
      </c>
      <c r="P28" s="5" t="n">
        <v>110</v>
      </c>
      <c r="Q28" s="3" t="s">
        <v>95</v>
      </c>
      <c r="R28" s="3" t="s">
        <v>50</v>
      </c>
      <c r="S28" s="4" t="n">
        <f aca="false">IFERROR(N28-N(O28)-N(P28),"")</f>
        <v>325</v>
      </c>
      <c r="T28" s="5" t="n">
        <v>7116</v>
      </c>
      <c r="U28" s="5" t="n">
        <v>89</v>
      </c>
      <c r="V28" s="3" t="s">
        <v>45</v>
      </c>
      <c r="W28" s="5" t="n">
        <v>1400</v>
      </c>
      <c r="X28" s="5" t="n">
        <v>9184</v>
      </c>
      <c r="Y28" s="4" t="n">
        <f aca="false">IFERROR(T28/X28*100,"")</f>
        <v>77.4825783972126</v>
      </c>
      <c r="Z28" s="4" t="n">
        <f aca="false">IFERROR(S28/N28*100,"")</f>
        <v>67.7083333333333</v>
      </c>
      <c r="AA28" s="4" t="n">
        <f aca="false">IFERROR(T28/(W28*S28/60)*100,"")</f>
        <v>93.8373626373626</v>
      </c>
      <c r="AB28" s="4" t="n">
        <f aca="false">IFERROR(T28/(T28+U28)*100,"")</f>
        <v>98.764746703678</v>
      </c>
      <c r="AC28" s="4" t="n">
        <f aca="false">IFERROR(Z28*AA28*AB28/10000,"")</f>
        <v>62.7508872806583</v>
      </c>
      <c r="AD28" s="3"/>
    </row>
    <row r="29" customFormat="false" ht="15" hidden="false" customHeight="false" outlineLevel="0" collapsed="false">
      <c r="A29" s="6" t="s">
        <v>38</v>
      </c>
      <c r="B29" s="6" t="s">
        <v>31</v>
      </c>
      <c r="C29" s="6" t="s">
        <v>32</v>
      </c>
      <c r="D29" s="6" t="s">
        <v>33</v>
      </c>
      <c r="E29" s="6" t="s">
        <v>34</v>
      </c>
      <c r="F29" s="6" t="s">
        <v>35</v>
      </c>
      <c r="G29" s="6" t="s">
        <v>102</v>
      </c>
      <c r="H29" s="6" t="s">
        <v>37</v>
      </c>
      <c r="I29" s="6" t="s">
        <v>91</v>
      </c>
      <c r="J29" s="6" t="s">
        <v>39</v>
      </c>
      <c r="K29" s="6" t="s">
        <v>40</v>
      </c>
      <c r="L29" s="6" t="s">
        <v>41</v>
      </c>
      <c r="M29" s="6" t="s">
        <v>42</v>
      </c>
      <c r="N29" s="7" t="n">
        <f aca="false">IFERROR(MOD(TIMEVALUE(M29)-TIMEVALUE(L29),1)*1440,"")</f>
        <v>480</v>
      </c>
      <c r="O29" s="8" t="n">
        <v>0</v>
      </c>
      <c r="P29" s="8" t="n">
        <v>45</v>
      </c>
      <c r="Q29" s="6" t="s">
        <v>74</v>
      </c>
      <c r="R29" s="6" t="s">
        <v>50</v>
      </c>
      <c r="S29" s="7" t="n">
        <f aca="false">IFERROR(N29-N(O29)-N(P29),"")</f>
        <v>435</v>
      </c>
      <c r="T29" s="8" t="n">
        <v>6421</v>
      </c>
      <c r="U29" s="8" t="n">
        <v>72</v>
      </c>
      <c r="V29" s="6" t="s">
        <v>45</v>
      </c>
      <c r="W29" s="8" t="n">
        <v>950</v>
      </c>
      <c r="X29" s="8" t="n">
        <v>6232</v>
      </c>
      <c r="Y29" s="7" t="n">
        <f aca="false">IFERROR(T29/X29*100,"")</f>
        <v>103.032734274711</v>
      </c>
      <c r="Z29" s="7" t="n">
        <f aca="false">IFERROR(S29/N29*100,"")</f>
        <v>90.625</v>
      </c>
      <c r="AA29" s="7" t="n">
        <f aca="false">IFERROR(T29/(W29*S29/60)*100,"")</f>
        <v>93.2268602540835</v>
      </c>
      <c r="AB29" s="7" t="n">
        <f aca="false">IFERROR(T29/(T29+U29)*100,"")</f>
        <v>98.8911135068535</v>
      </c>
      <c r="AC29" s="7" t="n">
        <f aca="false">IFERROR(Z29*AA29*AB29/10000,"")</f>
        <v>83.5499789246719</v>
      </c>
      <c r="AD29" s="6"/>
    </row>
    <row r="30" customFormat="false" ht="15" hidden="false" customHeight="false" outlineLevel="0" collapsed="false">
      <c r="A30" s="3" t="s">
        <v>38</v>
      </c>
      <c r="B30" s="3" t="s">
        <v>31</v>
      </c>
      <c r="C30" s="3" t="s">
        <v>59</v>
      </c>
      <c r="D30" s="3" t="s">
        <v>33</v>
      </c>
      <c r="E30" s="3" t="s">
        <v>46</v>
      </c>
      <c r="F30" s="3" t="s">
        <v>35</v>
      </c>
      <c r="G30" s="3" t="s">
        <v>103</v>
      </c>
      <c r="H30" s="3" t="s">
        <v>37</v>
      </c>
      <c r="I30" s="3" t="s">
        <v>82</v>
      </c>
      <c r="J30" s="3" t="s">
        <v>39</v>
      </c>
      <c r="K30" s="3" t="s">
        <v>40</v>
      </c>
      <c r="L30" s="3" t="s">
        <v>41</v>
      </c>
      <c r="M30" s="3" t="s">
        <v>42</v>
      </c>
      <c r="N30" s="4" t="n">
        <f aca="false">IFERROR(MOD(TIMEVALUE(M30)-TIMEVALUE(L30),1)*1440,"")</f>
        <v>480</v>
      </c>
      <c r="O30" s="5" t="n">
        <v>30</v>
      </c>
      <c r="P30" s="5" t="n">
        <v>0</v>
      </c>
      <c r="Q30" s="3"/>
      <c r="R30" s="3"/>
      <c r="S30" s="4" t="n">
        <f aca="false">IFERROR(N30-N(O30)-N(P30),"")</f>
        <v>450</v>
      </c>
      <c r="T30" s="5" t="n">
        <v>5686</v>
      </c>
      <c r="U30" s="5" t="n">
        <v>98</v>
      </c>
      <c r="V30" s="3" t="s">
        <v>45</v>
      </c>
      <c r="W30" s="5" t="n">
        <v>950</v>
      </c>
      <c r="X30" s="5" t="n">
        <v>6232</v>
      </c>
      <c r="Y30" s="4" t="n">
        <f aca="false">IFERROR(T30/X30*100,"")</f>
        <v>91.2387676508344</v>
      </c>
      <c r="Z30" s="4" t="n">
        <f aca="false">IFERROR(S30/N30*100,"")</f>
        <v>93.75</v>
      </c>
      <c r="AA30" s="4" t="n">
        <f aca="false">IFERROR(T30/(W30*S30/60)*100,"")</f>
        <v>79.8035087719298</v>
      </c>
      <c r="AB30" s="4" t="n">
        <f aca="false">IFERROR(T30/(T30+U30)*100,"")</f>
        <v>98.3056708160443</v>
      </c>
      <c r="AC30" s="4" t="n">
        <f aca="false">IFERROR(Z30*AA30*AB30/10000,"")</f>
        <v>73.5481637184247</v>
      </c>
      <c r="AD30" s="3"/>
    </row>
    <row r="31" customFormat="false" ht="15" hidden="false" customHeight="false" outlineLevel="0" collapsed="false">
      <c r="A31" s="6" t="s">
        <v>38</v>
      </c>
      <c r="B31" s="6" t="s">
        <v>31</v>
      </c>
      <c r="C31" s="6" t="s">
        <v>70</v>
      </c>
      <c r="D31" s="6" t="s">
        <v>33</v>
      </c>
      <c r="E31" s="6" t="s">
        <v>51</v>
      </c>
      <c r="F31" s="6" t="s">
        <v>52</v>
      </c>
      <c r="G31" s="6" t="s">
        <v>104</v>
      </c>
      <c r="H31" s="6" t="s">
        <v>62</v>
      </c>
      <c r="I31" s="6"/>
      <c r="J31" s="6" t="s">
        <v>55</v>
      </c>
      <c r="K31" s="6" t="s">
        <v>56</v>
      </c>
      <c r="L31" s="6" t="s">
        <v>41</v>
      </c>
      <c r="M31" s="6" t="s">
        <v>42</v>
      </c>
      <c r="N31" s="7" t="n">
        <f aca="false">IFERROR(MOD(TIMEVALUE(M31)-TIMEVALUE(L31),1)*1440,"")</f>
        <v>480</v>
      </c>
      <c r="O31" s="8" t="n">
        <v>45</v>
      </c>
      <c r="P31" s="8" t="n">
        <v>35</v>
      </c>
      <c r="Q31" s="6" t="s">
        <v>57</v>
      </c>
      <c r="R31" s="6" t="s">
        <v>50</v>
      </c>
      <c r="S31" s="7" t="n">
        <f aca="false">IFERROR(N31-N(O31)-N(P31),"")</f>
        <v>400</v>
      </c>
      <c r="T31" s="8" t="n">
        <v>6864</v>
      </c>
      <c r="U31" s="8" t="n">
        <v>200</v>
      </c>
      <c r="V31" s="6" t="s">
        <v>45</v>
      </c>
      <c r="W31" s="8" t="n">
        <v>1200</v>
      </c>
      <c r="X31" s="8" t="n">
        <v>7871</v>
      </c>
      <c r="Y31" s="7" t="n">
        <f aca="false">IFERROR(T31/X31*100,"")</f>
        <v>87.2061999745903</v>
      </c>
      <c r="Z31" s="7" t="n">
        <f aca="false">IFERROR(S31/N31*100,"")</f>
        <v>83.3333333333333</v>
      </c>
      <c r="AA31" s="7" t="n">
        <f aca="false">IFERROR(T31/(W31*S31/60)*100,"")</f>
        <v>85.8</v>
      </c>
      <c r="AB31" s="7" t="n">
        <f aca="false">IFERROR(T31/(T31+U31)*100,"")</f>
        <v>97.1687429218573</v>
      </c>
      <c r="AC31" s="7" t="n">
        <f aca="false">IFERROR(Z31*AA31*AB31/10000,"")</f>
        <v>69.475651189128</v>
      </c>
      <c r="AD31" s="6"/>
    </row>
    <row r="32" customFormat="false" ht="15" hidden="false" customHeight="false" outlineLevel="0" collapsed="false">
      <c r="A32" s="3" t="s">
        <v>38</v>
      </c>
      <c r="B32" s="3" t="s">
        <v>58</v>
      </c>
      <c r="C32" s="3" t="s">
        <v>76</v>
      </c>
      <c r="D32" s="3" t="s">
        <v>60</v>
      </c>
      <c r="E32" s="3" t="s">
        <v>34</v>
      </c>
      <c r="F32" s="3" t="s">
        <v>35</v>
      </c>
      <c r="G32" s="3" t="s">
        <v>105</v>
      </c>
      <c r="H32" s="3" t="s">
        <v>37</v>
      </c>
      <c r="I32" s="3" t="s">
        <v>82</v>
      </c>
      <c r="J32" s="3" t="s">
        <v>55</v>
      </c>
      <c r="K32" s="3" t="s">
        <v>56</v>
      </c>
      <c r="L32" s="3" t="s">
        <v>42</v>
      </c>
      <c r="M32" s="3" t="s">
        <v>63</v>
      </c>
      <c r="N32" s="4" t="n">
        <f aca="false">IFERROR(MOD(TIMEVALUE(M32)-TIMEVALUE(L32),1)*1440,"")</f>
        <v>480</v>
      </c>
      <c r="O32" s="5" t="n">
        <v>15</v>
      </c>
      <c r="P32" s="5" t="n">
        <v>45</v>
      </c>
      <c r="Q32" s="3" t="s">
        <v>74</v>
      </c>
      <c r="R32" s="3" t="s">
        <v>50</v>
      </c>
      <c r="S32" s="4" t="n">
        <f aca="false">IFERROR(N32-N(O32)-N(P32),"")</f>
        <v>420</v>
      </c>
      <c r="T32" s="5" t="n">
        <v>7455</v>
      </c>
      <c r="U32" s="5" t="n">
        <v>536</v>
      </c>
      <c r="V32" s="3" t="s">
        <v>45</v>
      </c>
      <c r="W32" s="5" t="n">
        <v>1200</v>
      </c>
      <c r="X32" s="5" t="n">
        <v>7871</v>
      </c>
      <c r="Y32" s="4" t="n">
        <f aca="false">IFERROR(T32/X32*100,"")</f>
        <v>94.7147757591157</v>
      </c>
      <c r="Z32" s="4" t="n">
        <f aca="false">IFERROR(S32/N32*100,"")</f>
        <v>87.5</v>
      </c>
      <c r="AA32" s="4" t="n">
        <f aca="false">IFERROR(T32/(W32*S32/60)*100,"")</f>
        <v>88.75</v>
      </c>
      <c r="AB32" s="4" t="n">
        <f aca="false">IFERROR(T32/(T32+U32)*100,"")</f>
        <v>93.2924540107621</v>
      </c>
      <c r="AC32" s="4" t="n">
        <f aca="false">IFERROR(Z32*AA32*AB32/10000,"")</f>
        <v>72.4474213177324</v>
      </c>
      <c r="AD32" s="3"/>
    </row>
    <row r="33" customFormat="false" ht="15" hidden="false" customHeight="false" outlineLevel="0" collapsed="false">
      <c r="A33" s="6" t="s">
        <v>38</v>
      </c>
      <c r="B33" s="6" t="s">
        <v>58</v>
      </c>
      <c r="C33" s="6" t="s">
        <v>70</v>
      </c>
      <c r="D33" s="6" t="s">
        <v>60</v>
      </c>
      <c r="E33" s="6" t="s">
        <v>46</v>
      </c>
      <c r="F33" s="6" t="s">
        <v>35</v>
      </c>
      <c r="G33" s="6" t="s">
        <v>106</v>
      </c>
      <c r="H33" s="6" t="s">
        <v>37</v>
      </c>
      <c r="I33" s="6" t="s">
        <v>91</v>
      </c>
      <c r="J33" s="6" t="s">
        <v>65</v>
      </c>
      <c r="K33" s="6" t="s">
        <v>66</v>
      </c>
      <c r="L33" s="6" t="s">
        <v>42</v>
      </c>
      <c r="M33" s="6" t="s">
        <v>63</v>
      </c>
      <c r="N33" s="7" t="n">
        <f aca="false">IFERROR(MOD(TIMEVALUE(M33)-TIMEVALUE(L33),1)*1440,"")</f>
        <v>480</v>
      </c>
      <c r="O33" s="8" t="n">
        <v>20</v>
      </c>
      <c r="P33" s="8" t="n">
        <v>0</v>
      </c>
      <c r="Q33" s="6"/>
      <c r="R33" s="6"/>
      <c r="S33" s="7" t="n">
        <f aca="false">IFERROR(N33-N(O33)-N(P33),"")</f>
        <v>460</v>
      </c>
      <c r="T33" s="8" t="n">
        <v>10010</v>
      </c>
      <c r="U33" s="8" t="n">
        <v>170</v>
      </c>
      <c r="V33" s="6" t="s">
        <v>45</v>
      </c>
      <c r="W33" s="8" t="n">
        <v>1400</v>
      </c>
      <c r="X33" s="8" t="n">
        <v>9184</v>
      </c>
      <c r="Y33" s="7" t="n">
        <f aca="false">IFERROR(T33/X33*100,"")</f>
        <v>108.993902439024</v>
      </c>
      <c r="Z33" s="7" t="n">
        <f aca="false">IFERROR(S33/N33*100,"")</f>
        <v>95.8333333333333</v>
      </c>
      <c r="AA33" s="7" t="n">
        <f aca="false">IFERROR(T33/(W33*S33/60)*100,"")</f>
        <v>93.2608695652174</v>
      </c>
      <c r="AB33" s="7" t="n">
        <f aca="false">IFERROR(T33/(T33+U33)*100,"")</f>
        <v>98.3300589390963</v>
      </c>
      <c r="AC33" s="7" t="n">
        <f aca="false">IFERROR(Z33*AA33*AB33/10000,"")</f>
        <v>87.8824901768173</v>
      </c>
      <c r="AD33" s="6"/>
    </row>
    <row r="34" customFormat="false" ht="15" hidden="false" customHeight="false" outlineLevel="0" collapsed="false">
      <c r="A34" s="3" t="s">
        <v>38</v>
      </c>
      <c r="B34" s="3" t="s">
        <v>58</v>
      </c>
      <c r="C34" s="3" t="s">
        <v>59</v>
      </c>
      <c r="D34" s="3" t="s">
        <v>60</v>
      </c>
      <c r="E34" s="3" t="s">
        <v>51</v>
      </c>
      <c r="F34" s="3" t="s">
        <v>52</v>
      </c>
      <c r="G34" s="3" t="s">
        <v>107</v>
      </c>
      <c r="H34" s="3" t="s">
        <v>62</v>
      </c>
      <c r="I34" s="3"/>
      <c r="J34" s="3" t="s">
        <v>55</v>
      </c>
      <c r="K34" s="3" t="s">
        <v>56</v>
      </c>
      <c r="L34" s="3" t="s">
        <v>42</v>
      </c>
      <c r="M34" s="3" t="s">
        <v>63</v>
      </c>
      <c r="N34" s="4" t="n">
        <f aca="false">IFERROR(MOD(TIMEVALUE(M34)-TIMEVALUE(L34),1)*1440,"")</f>
        <v>480</v>
      </c>
      <c r="O34" s="5" t="n">
        <v>30</v>
      </c>
      <c r="P34" s="5" t="n">
        <v>20</v>
      </c>
      <c r="Q34" s="3" t="s">
        <v>57</v>
      </c>
      <c r="R34" s="3" t="s">
        <v>50</v>
      </c>
      <c r="S34" s="4" t="n">
        <f aca="false">IFERROR(N34-N(O34)-N(P34),"")</f>
        <v>430</v>
      </c>
      <c r="T34" s="5" t="n">
        <v>7073</v>
      </c>
      <c r="U34" s="5" t="n">
        <v>50</v>
      </c>
      <c r="V34" s="3" t="s">
        <v>45</v>
      </c>
      <c r="W34" s="5" t="n">
        <v>1200</v>
      </c>
      <c r="X34" s="5" t="n">
        <v>7871</v>
      </c>
      <c r="Y34" s="4" t="n">
        <f aca="false">IFERROR(T34/X34*100,"")</f>
        <v>89.8615169609961</v>
      </c>
      <c r="Z34" s="4" t="n">
        <f aca="false">IFERROR(S34/N34*100,"")</f>
        <v>89.5833333333333</v>
      </c>
      <c r="AA34" s="4" t="n">
        <f aca="false">IFERROR(T34/(W34*S34/60)*100,"")</f>
        <v>82.2441860465116</v>
      </c>
      <c r="AB34" s="4" t="n">
        <f aca="false">IFERROR(T34/(T34+U34)*100,"")</f>
        <v>99.2980485750386</v>
      </c>
      <c r="AC34" s="4" t="n">
        <f aca="false">IFERROR(Z34*AA34*AB34/10000,"")</f>
        <v>73.159905997005</v>
      </c>
      <c r="AD34" s="3"/>
    </row>
    <row r="35" customFormat="false" ht="15" hidden="false" customHeight="false" outlineLevel="0" collapsed="false">
      <c r="A35" s="6" t="s">
        <v>38</v>
      </c>
      <c r="B35" s="6" t="s">
        <v>69</v>
      </c>
      <c r="C35" s="6" t="s">
        <v>59</v>
      </c>
      <c r="D35" s="6" t="s">
        <v>71</v>
      </c>
      <c r="E35" s="6" t="s">
        <v>34</v>
      </c>
      <c r="F35" s="6" t="s">
        <v>35</v>
      </c>
      <c r="G35" s="6" t="s">
        <v>108</v>
      </c>
      <c r="H35" s="6" t="s">
        <v>37</v>
      </c>
      <c r="I35" s="6" t="s">
        <v>91</v>
      </c>
      <c r="J35" s="6" t="s">
        <v>55</v>
      </c>
      <c r="K35" s="6" t="s">
        <v>56</v>
      </c>
      <c r="L35" s="6" t="s">
        <v>63</v>
      </c>
      <c r="M35" s="6" t="s">
        <v>41</v>
      </c>
      <c r="N35" s="7" t="n">
        <f aca="false">IFERROR(MOD(TIMEVALUE(M35)-TIMEVALUE(L35),1)*1440,"")</f>
        <v>480</v>
      </c>
      <c r="O35" s="8" t="n">
        <v>15</v>
      </c>
      <c r="P35" s="8" t="n">
        <v>45</v>
      </c>
      <c r="Q35" s="6" t="s">
        <v>57</v>
      </c>
      <c r="R35" s="6" t="s">
        <v>50</v>
      </c>
      <c r="S35" s="7" t="n">
        <f aca="false">IFERROR(N35-N(O35)-N(P35),"")</f>
        <v>420</v>
      </c>
      <c r="T35" s="8" t="n">
        <v>6470</v>
      </c>
      <c r="U35" s="8" t="n">
        <v>136</v>
      </c>
      <c r="V35" s="6" t="s">
        <v>45</v>
      </c>
      <c r="W35" s="8" t="n">
        <v>1200</v>
      </c>
      <c r="X35" s="8" t="n">
        <v>7871</v>
      </c>
      <c r="Y35" s="7" t="n">
        <f aca="false">IFERROR(T35/X35*100,"")</f>
        <v>82.2004827849066</v>
      </c>
      <c r="Z35" s="7" t="n">
        <f aca="false">IFERROR(S35/N35*100,"")</f>
        <v>87.5</v>
      </c>
      <c r="AA35" s="7" t="n">
        <f aca="false">IFERROR(T35/(W35*S35/60)*100,"")</f>
        <v>77.0238095238095</v>
      </c>
      <c r="AB35" s="7" t="n">
        <f aca="false">IFERROR(T35/(T35+U35)*100,"")</f>
        <v>97.9412655161974</v>
      </c>
      <c r="AC35" s="7" t="n">
        <f aca="false">IFERROR(Z35*AA35*AB35/10000,"")</f>
        <v>66.0083320718538</v>
      </c>
      <c r="AD35" s="6"/>
    </row>
    <row r="36" customFormat="false" ht="15" hidden="false" customHeight="false" outlineLevel="0" collapsed="false">
      <c r="A36" s="3" t="s">
        <v>38</v>
      </c>
      <c r="B36" s="3" t="s">
        <v>69</v>
      </c>
      <c r="C36" s="3" t="s">
        <v>32</v>
      </c>
      <c r="D36" s="3" t="s">
        <v>71</v>
      </c>
      <c r="E36" s="3" t="s">
        <v>46</v>
      </c>
      <c r="F36" s="3" t="s">
        <v>35</v>
      </c>
      <c r="G36" s="3" t="s">
        <v>109</v>
      </c>
      <c r="H36" s="3" t="s">
        <v>37</v>
      </c>
      <c r="I36" s="3" t="s">
        <v>82</v>
      </c>
      <c r="J36" s="3" t="s">
        <v>65</v>
      </c>
      <c r="K36" s="3" t="s">
        <v>66</v>
      </c>
      <c r="L36" s="3" t="s">
        <v>63</v>
      </c>
      <c r="M36" s="3" t="s">
        <v>41</v>
      </c>
      <c r="N36" s="4" t="n">
        <f aca="false">IFERROR(MOD(TIMEVALUE(M36)-TIMEVALUE(L36),1)*1440,"")</f>
        <v>480</v>
      </c>
      <c r="O36" s="5" t="n">
        <v>30</v>
      </c>
      <c r="P36" s="5" t="n">
        <v>100</v>
      </c>
      <c r="Q36" s="3" t="s">
        <v>49</v>
      </c>
      <c r="R36" s="3" t="s">
        <v>50</v>
      </c>
      <c r="S36" s="4" t="n">
        <f aca="false">IFERROR(N36-N(O36)-N(P36),"")</f>
        <v>350</v>
      </c>
      <c r="T36" s="5" t="n">
        <v>6730</v>
      </c>
      <c r="U36" s="5" t="n">
        <v>27</v>
      </c>
      <c r="V36" s="3" t="s">
        <v>45</v>
      </c>
      <c r="W36" s="5" t="n">
        <v>1400</v>
      </c>
      <c r="X36" s="5" t="n">
        <v>9184</v>
      </c>
      <c r="Y36" s="4" t="n">
        <f aca="false">IFERROR(T36/X36*100,"")</f>
        <v>73.2796167247387</v>
      </c>
      <c r="Z36" s="4" t="n">
        <f aca="false">IFERROR(S36/N36*100,"")</f>
        <v>72.9166666666667</v>
      </c>
      <c r="AA36" s="4" t="n">
        <f aca="false">IFERROR(T36/(W36*S36/60)*100,"")</f>
        <v>82.4081632653061</v>
      </c>
      <c r="AB36" s="4" t="n">
        <f aca="false">IFERROR(T36/(T36+U36)*100,"")</f>
        <v>99.6004143850821</v>
      </c>
      <c r="AC36" s="4" t="n">
        <f aca="false">IFERROR(Z36*AA36*AB36/10000,"")</f>
        <v>59.8491775724645</v>
      </c>
      <c r="AD36" s="3"/>
    </row>
    <row r="37" customFormat="false" ht="15" hidden="false" customHeight="false" outlineLevel="0" collapsed="false">
      <c r="A37" s="6" t="s">
        <v>38</v>
      </c>
      <c r="B37" s="6" t="s">
        <v>69</v>
      </c>
      <c r="C37" s="6" t="s">
        <v>99</v>
      </c>
      <c r="D37" s="6" t="s">
        <v>71</v>
      </c>
      <c r="E37" s="6" t="s">
        <v>51</v>
      </c>
      <c r="F37" s="6" t="s">
        <v>52</v>
      </c>
      <c r="G37" s="6" t="s">
        <v>110</v>
      </c>
      <c r="H37" s="6" t="s">
        <v>37</v>
      </c>
      <c r="I37" s="6" t="s">
        <v>91</v>
      </c>
      <c r="J37" s="6" t="s">
        <v>39</v>
      </c>
      <c r="K37" s="6" t="s">
        <v>40</v>
      </c>
      <c r="L37" s="6" t="s">
        <v>63</v>
      </c>
      <c r="M37" s="6" t="s">
        <v>41</v>
      </c>
      <c r="N37" s="7" t="n">
        <f aca="false">IFERROR(MOD(TIMEVALUE(M37)-TIMEVALUE(L37),1)*1440,"")</f>
        <v>480</v>
      </c>
      <c r="O37" s="8" t="n">
        <v>30</v>
      </c>
      <c r="P37" s="8" t="n">
        <v>60</v>
      </c>
      <c r="Q37" s="6" t="s">
        <v>57</v>
      </c>
      <c r="R37" s="6" t="s">
        <v>50</v>
      </c>
      <c r="S37" s="7" t="n">
        <f aca="false">IFERROR(N37-N(O37)-N(P37),"")</f>
        <v>390</v>
      </c>
      <c r="T37" s="8" t="n">
        <v>5377</v>
      </c>
      <c r="U37" s="8" t="n">
        <v>155</v>
      </c>
      <c r="V37" s="6" t="s">
        <v>45</v>
      </c>
      <c r="W37" s="8" t="n">
        <v>950</v>
      </c>
      <c r="X37" s="8" t="n">
        <v>6232</v>
      </c>
      <c r="Y37" s="7" t="n">
        <f aca="false">IFERROR(T37/X37*100,"")</f>
        <v>86.2804878048781</v>
      </c>
      <c r="Z37" s="7" t="n">
        <f aca="false">IFERROR(S37/N37*100,"")</f>
        <v>81.25</v>
      </c>
      <c r="AA37" s="7" t="n">
        <f aca="false">IFERROR(T37/(W37*S37/60)*100,"")</f>
        <v>87.0769230769231</v>
      </c>
      <c r="AB37" s="7" t="n">
        <f aca="false">IFERROR(T37/(T37+U37)*100,"")</f>
        <v>97.1981200289226</v>
      </c>
      <c r="AC37" s="7" t="n">
        <f aca="false">IFERROR(Z37*AA37*AB37/10000,"")</f>
        <v>68.7676699204628</v>
      </c>
      <c r="AD37" s="6"/>
    </row>
    <row r="38" customFormat="false" ht="15" hidden="false" customHeight="false" outlineLevel="0" collapsed="false">
      <c r="A38" s="3" t="s">
        <v>82</v>
      </c>
      <c r="B38" s="3" t="s">
        <v>31</v>
      </c>
      <c r="C38" s="3" t="s">
        <v>70</v>
      </c>
      <c r="D38" s="3" t="s">
        <v>33</v>
      </c>
      <c r="E38" s="3" t="s">
        <v>34</v>
      </c>
      <c r="F38" s="3" t="s">
        <v>35</v>
      </c>
      <c r="G38" s="3" t="s">
        <v>111</v>
      </c>
      <c r="H38" s="3" t="s">
        <v>37</v>
      </c>
      <c r="I38" s="3" t="s">
        <v>91</v>
      </c>
      <c r="J38" s="3" t="s">
        <v>39</v>
      </c>
      <c r="K38" s="3" t="s">
        <v>40</v>
      </c>
      <c r="L38" s="3" t="s">
        <v>41</v>
      </c>
      <c r="M38" s="3" t="s">
        <v>42</v>
      </c>
      <c r="N38" s="4" t="n">
        <f aca="false">IFERROR(MOD(TIMEVALUE(M38)-TIMEVALUE(L38),1)*1440,"")</f>
        <v>480</v>
      </c>
      <c r="O38" s="5" t="n">
        <v>15</v>
      </c>
      <c r="P38" s="5" t="n">
        <v>30</v>
      </c>
      <c r="Q38" s="3" t="s">
        <v>97</v>
      </c>
      <c r="R38" s="3" t="s">
        <v>44</v>
      </c>
      <c r="S38" s="4" t="n">
        <f aca="false">IFERROR(N38-N(O38)-N(P38),"")</f>
        <v>435</v>
      </c>
      <c r="T38" s="5" t="n">
        <v>6677</v>
      </c>
      <c r="U38" s="5" t="n">
        <v>56</v>
      </c>
      <c r="V38" s="3" t="s">
        <v>45</v>
      </c>
      <c r="W38" s="5" t="n">
        <v>950</v>
      </c>
      <c r="X38" s="5" t="n">
        <v>6232</v>
      </c>
      <c r="Y38" s="4" t="n">
        <f aca="false">IFERROR(T38/X38*100,"")</f>
        <v>107.140564826701</v>
      </c>
      <c r="Z38" s="4" t="n">
        <f aca="false">IFERROR(S38/N38*100,"")</f>
        <v>90.625</v>
      </c>
      <c r="AA38" s="4" t="n">
        <f aca="false">IFERROR(T38/(W38*S38/60)*100,"")</f>
        <v>96.9437386569873</v>
      </c>
      <c r="AB38" s="4" t="n">
        <f aca="false">IFERROR(T38/(T38+U38)*100,"")</f>
        <v>99.1682756572108</v>
      </c>
      <c r="AC38" s="4" t="n">
        <f aca="false">IFERROR(Z38*AA38*AB38/10000,"")</f>
        <v>87.124549547789</v>
      </c>
      <c r="AD38" s="3"/>
    </row>
    <row r="39" customFormat="false" ht="15" hidden="false" customHeight="false" outlineLevel="0" collapsed="false">
      <c r="A39" s="6" t="s">
        <v>82</v>
      </c>
      <c r="B39" s="6" t="s">
        <v>31</v>
      </c>
      <c r="C39" s="6" t="s">
        <v>32</v>
      </c>
      <c r="D39" s="6" t="s">
        <v>33</v>
      </c>
      <c r="E39" s="6" t="s">
        <v>46</v>
      </c>
      <c r="F39" s="6" t="s">
        <v>35</v>
      </c>
      <c r="G39" s="6" t="s">
        <v>112</v>
      </c>
      <c r="H39" s="6" t="s">
        <v>37</v>
      </c>
      <c r="I39" s="6" t="s">
        <v>113</v>
      </c>
      <c r="J39" s="6" t="s">
        <v>39</v>
      </c>
      <c r="K39" s="6" t="s">
        <v>40</v>
      </c>
      <c r="L39" s="6" t="s">
        <v>41</v>
      </c>
      <c r="M39" s="6" t="s">
        <v>42</v>
      </c>
      <c r="N39" s="7" t="n">
        <f aca="false">IFERROR(MOD(TIMEVALUE(M39)-TIMEVALUE(L39),1)*1440,"")</f>
        <v>480</v>
      </c>
      <c r="O39" s="8" t="n">
        <v>0</v>
      </c>
      <c r="P39" s="8" t="n">
        <v>20</v>
      </c>
      <c r="Q39" s="6"/>
      <c r="R39" s="6"/>
      <c r="S39" s="7" t="n">
        <f aca="false">IFERROR(N39-N(O39)-N(P39),"")</f>
        <v>460</v>
      </c>
      <c r="T39" s="8" t="n">
        <v>5909</v>
      </c>
      <c r="U39" s="8" t="n">
        <v>114</v>
      </c>
      <c r="V39" s="6" t="s">
        <v>45</v>
      </c>
      <c r="W39" s="8" t="n">
        <v>950</v>
      </c>
      <c r="X39" s="8" t="n">
        <v>6232</v>
      </c>
      <c r="Y39" s="7" t="n">
        <f aca="false">IFERROR(T39/X39*100,"")</f>
        <v>94.8170731707317</v>
      </c>
      <c r="Z39" s="7" t="n">
        <f aca="false">IFERROR(S39/N39*100,"")</f>
        <v>95.8333333333333</v>
      </c>
      <c r="AA39" s="7" t="n">
        <f aca="false">IFERROR(T39/(W39*S39/60)*100,"")</f>
        <v>81.1304347826087</v>
      </c>
      <c r="AB39" s="7" t="n">
        <f aca="false">IFERROR(T39/(T39+U39)*100,"")</f>
        <v>98.1072555205047</v>
      </c>
      <c r="AC39" s="7" t="n">
        <f aca="false">IFERROR(Z39*AA39*AB39/10000,"")</f>
        <v>76.2783911671925</v>
      </c>
      <c r="AD39" s="6"/>
    </row>
    <row r="40" customFormat="false" ht="15" hidden="false" customHeight="false" outlineLevel="0" collapsed="false">
      <c r="A40" s="3" t="s">
        <v>82</v>
      </c>
      <c r="B40" s="3" t="s">
        <v>31</v>
      </c>
      <c r="C40" s="3" t="s">
        <v>70</v>
      </c>
      <c r="D40" s="3" t="s">
        <v>33</v>
      </c>
      <c r="E40" s="3" t="s">
        <v>51</v>
      </c>
      <c r="F40" s="3" t="s">
        <v>52</v>
      </c>
      <c r="G40" s="3" t="s">
        <v>114</v>
      </c>
      <c r="H40" s="3" t="s">
        <v>62</v>
      </c>
      <c r="I40" s="3"/>
      <c r="J40" s="3" t="s">
        <v>55</v>
      </c>
      <c r="K40" s="3" t="s">
        <v>56</v>
      </c>
      <c r="L40" s="3" t="s">
        <v>41</v>
      </c>
      <c r="M40" s="3" t="s">
        <v>42</v>
      </c>
      <c r="N40" s="4" t="n">
        <f aca="false">IFERROR(MOD(TIMEVALUE(M40)-TIMEVALUE(L40),1)*1440,"")</f>
        <v>480</v>
      </c>
      <c r="O40" s="5" t="n">
        <v>20</v>
      </c>
      <c r="P40" s="5" t="n">
        <v>20</v>
      </c>
      <c r="Q40" s="3" t="s">
        <v>95</v>
      </c>
      <c r="R40" s="3" t="s">
        <v>50</v>
      </c>
      <c r="S40" s="4" t="n">
        <f aca="false">IFERROR(N40-N(O40)-N(P40),"")</f>
        <v>440</v>
      </c>
      <c r="T40" s="5" t="n">
        <v>8701</v>
      </c>
      <c r="U40" s="5" t="n">
        <v>96</v>
      </c>
      <c r="V40" s="3" t="s">
        <v>45</v>
      </c>
      <c r="W40" s="5" t="n">
        <v>1200</v>
      </c>
      <c r="X40" s="5" t="n">
        <v>7871</v>
      </c>
      <c r="Y40" s="4" t="n">
        <f aca="false">IFERROR(T40/X40*100,"")</f>
        <v>110.545038749841</v>
      </c>
      <c r="Z40" s="4" t="n">
        <f aca="false">IFERROR(S40/N40*100,"")</f>
        <v>91.6666666666667</v>
      </c>
      <c r="AA40" s="4" t="n">
        <f aca="false">IFERROR(T40/(W40*S40/60)*100,"")</f>
        <v>98.875</v>
      </c>
      <c r="AB40" s="4" t="n">
        <f aca="false">IFERROR(T40/(T40+U40)*100,"")</f>
        <v>98.9087188814369</v>
      </c>
      <c r="AC40" s="4" t="n">
        <f aca="false">IFERROR(Z40*AA40*AB40/10000,"")</f>
        <v>89.6463294778523</v>
      </c>
      <c r="AD40" s="3"/>
    </row>
    <row r="41" customFormat="false" ht="15" hidden="false" customHeight="false" outlineLevel="0" collapsed="false">
      <c r="A41" s="6" t="s">
        <v>82</v>
      </c>
      <c r="B41" s="6" t="s">
        <v>58</v>
      </c>
      <c r="C41" s="6" t="s">
        <v>32</v>
      </c>
      <c r="D41" s="6" t="s">
        <v>60</v>
      </c>
      <c r="E41" s="6" t="s">
        <v>34</v>
      </c>
      <c r="F41" s="6" t="s">
        <v>35</v>
      </c>
      <c r="G41" s="6" t="s">
        <v>115</v>
      </c>
      <c r="H41" s="6" t="s">
        <v>62</v>
      </c>
      <c r="I41" s="6"/>
      <c r="J41" s="6" t="s">
        <v>39</v>
      </c>
      <c r="K41" s="6" t="s">
        <v>40</v>
      </c>
      <c r="L41" s="6" t="s">
        <v>42</v>
      </c>
      <c r="M41" s="6" t="s">
        <v>63</v>
      </c>
      <c r="N41" s="7" t="n">
        <f aca="false">IFERROR(MOD(TIMEVALUE(M41)-TIMEVALUE(L41),1)*1440,"")</f>
        <v>480</v>
      </c>
      <c r="O41" s="8" t="n">
        <v>30</v>
      </c>
      <c r="P41" s="8" t="n">
        <v>0</v>
      </c>
      <c r="Q41" s="6"/>
      <c r="R41" s="6"/>
      <c r="S41" s="7" t="n">
        <f aca="false">IFERROR(N41-N(O41)-N(P41),"")</f>
        <v>450</v>
      </c>
      <c r="T41" s="8" t="n">
        <v>6581</v>
      </c>
      <c r="U41" s="8" t="n">
        <v>67</v>
      </c>
      <c r="V41" s="6" t="s">
        <v>45</v>
      </c>
      <c r="W41" s="8" t="n">
        <v>950</v>
      </c>
      <c r="X41" s="8" t="n">
        <v>6232</v>
      </c>
      <c r="Y41" s="7" t="n">
        <f aca="false">IFERROR(T41/X41*100,"")</f>
        <v>105.600128369705</v>
      </c>
      <c r="Z41" s="7" t="n">
        <f aca="false">IFERROR(S41/N41*100,"")</f>
        <v>93.75</v>
      </c>
      <c r="AA41" s="7" t="n">
        <f aca="false">IFERROR(T41/(W41*S41/60)*100,"")</f>
        <v>92.3649122807017</v>
      </c>
      <c r="AB41" s="7" t="n">
        <f aca="false">IFERROR(T41/(T41+U41)*100,"")</f>
        <v>98.9921780986763</v>
      </c>
      <c r="AC41" s="7" t="n">
        <f aca="false">IFERROR(Z41*AA41*AB41/10000,"")</f>
        <v>85.7194110614985</v>
      </c>
      <c r="AD41" s="6"/>
    </row>
    <row r="42" customFormat="false" ht="15" hidden="false" customHeight="false" outlineLevel="0" collapsed="false">
      <c r="A42" s="3" t="s">
        <v>82</v>
      </c>
      <c r="B42" s="3" t="s">
        <v>58</v>
      </c>
      <c r="C42" s="3" t="s">
        <v>59</v>
      </c>
      <c r="D42" s="3" t="s">
        <v>60</v>
      </c>
      <c r="E42" s="3" t="s">
        <v>46</v>
      </c>
      <c r="F42" s="3" t="s">
        <v>35</v>
      </c>
      <c r="G42" s="3" t="s">
        <v>116</v>
      </c>
      <c r="H42" s="3" t="s">
        <v>37</v>
      </c>
      <c r="I42" s="3" t="s">
        <v>113</v>
      </c>
      <c r="J42" s="3" t="s">
        <v>39</v>
      </c>
      <c r="K42" s="3" t="s">
        <v>40</v>
      </c>
      <c r="L42" s="3" t="s">
        <v>42</v>
      </c>
      <c r="M42" s="3" t="s">
        <v>63</v>
      </c>
      <c r="N42" s="4" t="n">
        <f aca="false">IFERROR(MOD(TIMEVALUE(M42)-TIMEVALUE(L42),1)*1440,"")</f>
        <v>480</v>
      </c>
      <c r="O42" s="5" t="n">
        <v>20</v>
      </c>
      <c r="P42" s="5" t="n">
        <v>0</v>
      </c>
      <c r="Q42" s="3"/>
      <c r="R42" s="3"/>
      <c r="S42" s="4" t="n">
        <f aca="false">IFERROR(N42-N(O42)-N(P42),"")</f>
        <v>460</v>
      </c>
      <c r="T42" s="5" t="n">
        <v>5583</v>
      </c>
      <c r="U42" s="5" t="n">
        <v>32</v>
      </c>
      <c r="V42" s="3" t="s">
        <v>45</v>
      </c>
      <c r="W42" s="5" t="n">
        <v>950</v>
      </c>
      <c r="X42" s="5" t="n">
        <v>6232</v>
      </c>
      <c r="Y42" s="4" t="n">
        <f aca="false">IFERROR(T42/X42*100,"")</f>
        <v>89.5860077021823</v>
      </c>
      <c r="Z42" s="4" t="n">
        <f aca="false">IFERROR(S42/N42*100,"")</f>
        <v>95.8333333333333</v>
      </c>
      <c r="AA42" s="4" t="n">
        <f aca="false">IFERROR(T42/(W42*S42/60)*100,"")</f>
        <v>76.6544622425629</v>
      </c>
      <c r="AB42" s="4" t="n">
        <f aca="false">IFERROR(T42/(T42+U42)*100,"")</f>
        <v>99.4300979519145</v>
      </c>
      <c r="AC42" s="4" t="n">
        <f aca="false">IFERROR(Z42*AA42*AB42/10000,"")</f>
        <v>73.0418732717814</v>
      </c>
      <c r="AD42" s="3"/>
    </row>
    <row r="43" customFormat="false" ht="15" hidden="false" customHeight="false" outlineLevel="0" collapsed="false">
      <c r="A43" s="6" t="s">
        <v>82</v>
      </c>
      <c r="B43" s="6" t="s">
        <v>58</v>
      </c>
      <c r="C43" s="6" t="s">
        <v>99</v>
      </c>
      <c r="D43" s="6" t="s">
        <v>60</v>
      </c>
      <c r="E43" s="6" t="s">
        <v>51</v>
      </c>
      <c r="F43" s="6" t="s">
        <v>52</v>
      </c>
      <c r="G43" s="6" t="s">
        <v>117</v>
      </c>
      <c r="H43" s="6" t="s">
        <v>37</v>
      </c>
      <c r="I43" s="6" t="s">
        <v>113</v>
      </c>
      <c r="J43" s="6" t="s">
        <v>39</v>
      </c>
      <c r="K43" s="6" t="s">
        <v>40</v>
      </c>
      <c r="L43" s="6" t="s">
        <v>42</v>
      </c>
      <c r="M43" s="6" t="s">
        <v>63</v>
      </c>
      <c r="N43" s="7" t="n">
        <f aca="false">IFERROR(MOD(TIMEVALUE(M43)-TIMEVALUE(L43),1)*1440,"")</f>
        <v>480</v>
      </c>
      <c r="O43" s="8" t="n">
        <v>30</v>
      </c>
      <c r="P43" s="8" t="n">
        <v>20</v>
      </c>
      <c r="Q43" s="6" t="s">
        <v>95</v>
      </c>
      <c r="R43" s="6" t="s">
        <v>50</v>
      </c>
      <c r="S43" s="7" t="n">
        <f aca="false">IFERROR(N43-N(O43)-N(P43),"")</f>
        <v>430</v>
      </c>
      <c r="T43" s="8" t="n">
        <v>6672</v>
      </c>
      <c r="U43" s="8" t="n">
        <v>29</v>
      </c>
      <c r="V43" s="6" t="s">
        <v>45</v>
      </c>
      <c r="W43" s="8" t="n">
        <v>950</v>
      </c>
      <c r="X43" s="8" t="n">
        <v>6232</v>
      </c>
      <c r="Y43" s="7" t="n">
        <f aca="false">IFERROR(T43/X43*100,"")</f>
        <v>107.060333761232</v>
      </c>
      <c r="Z43" s="7" t="n">
        <f aca="false">IFERROR(S43/N43*100,"")</f>
        <v>89.5833333333333</v>
      </c>
      <c r="AA43" s="7" t="n">
        <f aca="false">IFERROR(T43/(W43*S43/60)*100,"")</f>
        <v>97.9975520195839</v>
      </c>
      <c r="AB43" s="7" t="n">
        <f aca="false">IFERROR(T43/(T43+U43)*100,"")</f>
        <v>99.5672287718251</v>
      </c>
      <c r="AC43" s="7" t="n">
        <f aca="false">IFERROR(Z43*AA43*AB43/10000,"")</f>
        <v>87.4095461007391</v>
      </c>
      <c r="AD43" s="6"/>
    </row>
    <row r="44" customFormat="false" ht="15" hidden="false" customHeight="false" outlineLevel="0" collapsed="false">
      <c r="A44" s="3" t="s">
        <v>82</v>
      </c>
      <c r="B44" s="3" t="s">
        <v>69</v>
      </c>
      <c r="C44" s="3" t="s">
        <v>32</v>
      </c>
      <c r="D44" s="3" t="s">
        <v>71</v>
      </c>
      <c r="E44" s="3" t="s">
        <v>34</v>
      </c>
      <c r="F44" s="3" t="s">
        <v>35</v>
      </c>
      <c r="G44" s="3" t="s">
        <v>118</v>
      </c>
      <c r="H44" s="3" t="s">
        <v>62</v>
      </c>
      <c r="I44" s="3"/>
      <c r="J44" s="3" t="s">
        <v>39</v>
      </c>
      <c r="K44" s="3" t="s">
        <v>40</v>
      </c>
      <c r="L44" s="3" t="s">
        <v>63</v>
      </c>
      <c r="M44" s="3" t="s">
        <v>41</v>
      </c>
      <c r="N44" s="4" t="n">
        <f aca="false">IFERROR(MOD(TIMEVALUE(M44)-TIMEVALUE(L44),1)*1440,"")</f>
        <v>480</v>
      </c>
      <c r="O44" s="5" t="n">
        <v>15</v>
      </c>
      <c r="P44" s="5" t="n">
        <v>0</v>
      </c>
      <c r="Q44" s="3"/>
      <c r="R44" s="3"/>
      <c r="S44" s="4" t="n">
        <f aca="false">IFERROR(N44-N(O44)-N(P44),"")</f>
        <v>465</v>
      </c>
      <c r="T44" s="5" t="n">
        <v>7093</v>
      </c>
      <c r="U44" s="5" t="n">
        <v>67</v>
      </c>
      <c r="V44" s="3" t="s">
        <v>45</v>
      </c>
      <c r="W44" s="5" t="n">
        <v>950</v>
      </c>
      <c r="X44" s="5" t="n">
        <v>6232</v>
      </c>
      <c r="Y44" s="4" t="n">
        <f aca="false">IFERROR(T44/X44*100,"")</f>
        <v>113.815789473684</v>
      </c>
      <c r="Z44" s="4" t="n">
        <f aca="false">IFERROR(S44/N44*100,"")</f>
        <v>96.875</v>
      </c>
      <c r="AA44" s="4" t="n">
        <f aca="false">IFERROR(T44/(W44*S44/60)*100,"")</f>
        <v>96.339558573854</v>
      </c>
      <c r="AB44" s="4" t="n">
        <f aca="false">IFERROR(T44/(T44+U44)*100,"")</f>
        <v>99.0642458100559</v>
      </c>
      <c r="AC44" s="4" t="n">
        <f aca="false">IFERROR(Z44*AA44*AB44/10000,"")</f>
        <v>92.4556178329903</v>
      </c>
      <c r="AD44" s="3"/>
    </row>
    <row r="45" customFormat="false" ht="15" hidden="false" customHeight="false" outlineLevel="0" collapsed="false">
      <c r="A45" s="6" t="s">
        <v>82</v>
      </c>
      <c r="B45" s="6" t="s">
        <v>69</v>
      </c>
      <c r="C45" s="6" t="s">
        <v>70</v>
      </c>
      <c r="D45" s="6" t="s">
        <v>71</v>
      </c>
      <c r="E45" s="6" t="s">
        <v>46</v>
      </c>
      <c r="F45" s="6" t="s">
        <v>35</v>
      </c>
      <c r="G45" s="6" t="s">
        <v>119</v>
      </c>
      <c r="H45" s="6" t="s">
        <v>37</v>
      </c>
      <c r="I45" s="6" t="s">
        <v>120</v>
      </c>
      <c r="J45" s="6" t="s">
        <v>65</v>
      </c>
      <c r="K45" s="6" t="s">
        <v>66</v>
      </c>
      <c r="L45" s="6" t="s">
        <v>63</v>
      </c>
      <c r="M45" s="6" t="s">
        <v>41</v>
      </c>
      <c r="N45" s="7" t="n">
        <f aca="false">IFERROR(MOD(TIMEVALUE(M45)-TIMEVALUE(L45),1)*1440,"")</f>
        <v>480</v>
      </c>
      <c r="O45" s="8" t="n">
        <v>20</v>
      </c>
      <c r="P45" s="8" t="n">
        <v>15</v>
      </c>
      <c r="Q45" s="6" t="s">
        <v>95</v>
      </c>
      <c r="R45" s="6" t="s">
        <v>50</v>
      </c>
      <c r="S45" s="7" t="n">
        <f aca="false">IFERROR(N45-N(O45)-N(P45),"")</f>
        <v>445</v>
      </c>
      <c r="T45" s="8" t="n">
        <v>8703</v>
      </c>
      <c r="U45" s="8" t="n">
        <v>155</v>
      </c>
      <c r="V45" s="6" t="s">
        <v>45</v>
      </c>
      <c r="W45" s="8" t="n">
        <v>1400</v>
      </c>
      <c r="X45" s="8" t="n">
        <v>9184</v>
      </c>
      <c r="Y45" s="7" t="n">
        <f aca="false">IFERROR(T45/X45*100,"")</f>
        <v>94.7626306620209</v>
      </c>
      <c r="Z45" s="7" t="n">
        <f aca="false">IFERROR(S45/N45*100,"")</f>
        <v>92.7083333333333</v>
      </c>
      <c r="AA45" s="7" t="n">
        <f aca="false">IFERROR(T45/(W45*S45/60)*100,"")</f>
        <v>83.8170144462279</v>
      </c>
      <c r="AB45" s="7" t="n">
        <f aca="false">IFERROR(T45/(T45+U45)*100,"")</f>
        <v>98.2501693384511</v>
      </c>
      <c r="AC45" s="7" t="n">
        <f aca="false">IFERROR(Z45*AA45*AB45/10000,"")</f>
        <v>76.3456449779054</v>
      </c>
      <c r="AD45" s="6"/>
    </row>
    <row r="46" customFormat="false" ht="15" hidden="false" customHeight="false" outlineLevel="0" collapsed="false">
      <c r="A46" s="3" t="s">
        <v>82</v>
      </c>
      <c r="B46" s="3" t="s">
        <v>69</v>
      </c>
      <c r="C46" s="3" t="s">
        <v>59</v>
      </c>
      <c r="D46" s="3" t="s">
        <v>71</v>
      </c>
      <c r="E46" s="3" t="s">
        <v>51</v>
      </c>
      <c r="F46" s="3" t="s">
        <v>52</v>
      </c>
      <c r="G46" s="3" t="s">
        <v>121</v>
      </c>
      <c r="H46" s="3" t="s">
        <v>37</v>
      </c>
      <c r="I46" s="3" t="s">
        <v>91</v>
      </c>
      <c r="J46" s="3" t="s">
        <v>39</v>
      </c>
      <c r="K46" s="3" t="s">
        <v>40</v>
      </c>
      <c r="L46" s="3" t="s">
        <v>63</v>
      </c>
      <c r="M46" s="3" t="s">
        <v>41</v>
      </c>
      <c r="N46" s="4" t="n">
        <f aca="false">IFERROR(MOD(TIMEVALUE(M46)-TIMEVALUE(L46),1)*1440,"")</f>
        <v>480</v>
      </c>
      <c r="O46" s="5" t="n">
        <v>0</v>
      </c>
      <c r="P46" s="5" t="n">
        <v>45</v>
      </c>
      <c r="Q46" s="3" t="s">
        <v>57</v>
      </c>
      <c r="R46" s="3" t="s">
        <v>50</v>
      </c>
      <c r="S46" s="4" t="n">
        <f aca="false">IFERROR(N46-N(O46)-N(P46),"")</f>
        <v>435</v>
      </c>
      <c r="T46" s="5" t="n">
        <v>5174</v>
      </c>
      <c r="U46" s="5" t="n">
        <v>34</v>
      </c>
      <c r="V46" s="3" t="s">
        <v>45</v>
      </c>
      <c r="W46" s="5" t="n">
        <v>950</v>
      </c>
      <c r="X46" s="5" t="n">
        <v>6232</v>
      </c>
      <c r="Y46" s="4" t="n">
        <f aca="false">IFERROR(T46/X46*100,"")</f>
        <v>83.023106546855</v>
      </c>
      <c r="Z46" s="4" t="n">
        <f aca="false">IFERROR(S46/N46*100,"")</f>
        <v>90.625</v>
      </c>
      <c r="AA46" s="4" t="n">
        <f aca="false">IFERROR(T46/(W46*S46/60)*100,"")</f>
        <v>75.1215970961887</v>
      </c>
      <c r="AB46" s="4" t="n">
        <f aca="false">IFERROR(T46/(T46+U46)*100,"")</f>
        <v>99.347158218126</v>
      </c>
      <c r="AC46" s="4" t="n">
        <f aca="false">IFERROR(Z46*AA46*AB46/10000,"")</f>
        <v>67.63449955534</v>
      </c>
      <c r="AD46" s="3"/>
    </row>
    <row r="47" customFormat="false" ht="15" hidden="false" customHeight="false" outlineLevel="0" collapsed="false">
      <c r="A47" s="6" t="s">
        <v>120</v>
      </c>
      <c r="B47" s="6" t="s">
        <v>31</v>
      </c>
      <c r="C47" s="6" t="s">
        <v>99</v>
      </c>
      <c r="D47" s="6" t="s">
        <v>33</v>
      </c>
      <c r="E47" s="6" t="s">
        <v>34</v>
      </c>
      <c r="F47" s="6" t="s">
        <v>35</v>
      </c>
      <c r="G47" s="6" t="s">
        <v>122</v>
      </c>
      <c r="H47" s="6" t="s">
        <v>62</v>
      </c>
      <c r="I47" s="6"/>
      <c r="J47" s="6" t="s">
        <v>55</v>
      </c>
      <c r="K47" s="6" t="s">
        <v>56</v>
      </c>
      <c r="L47" s="6" t="s">
        <v>41</v>
      </c>
      <c r="M47" s="6" t="s">
        <v>42</v>
      </c>
      <c r="N47" s="7" t="n">
        <f aca="false">IFERROR(MOD(TIMEVALUE(M47)-TIMEVALUE(L47),1)*1440,"")</f>
        <v>480</v>
      </c>
      <c r="O47" s="8" t="n">
        <v>15</v>
      </c>
      <c r="P47" s="8" t="n">
        <v>30</v>
      </c>
      <c r="Q47" s="6" t="s">
        <v>43</v>
      </c>
      <c r="R47" s="6" t="s">
        <v>44</v>
      </c>
      <c r="S47" s="7" t="n">
        <f aca="false">IFERROR(N47-N(O47)-N(P47),"")</f>
        <v>435</v>
      </c>
      <c r="T47" s="8" t="n">
        <v>8227</v>
      </c>
      <c r="U47" s="8" t="n">
        <v>162</v>
      </c>
      <c r="V47" s="6" t="s">
        <v>45</v>
      </c>
      <c r="W47" s="8" t="n">
        <v>1200</v>
      </c>
      <c r="X47" s="8" t="n">
        <v>7871</v>
      </c>
      <c r="Y47" s="7" t="n">
        <f aca="false">IFERROR(T47/X47*100,"")</f>
        <v>104.522932283064</v>
      </c>
      <c r="Z47" s="7" t="n">
        <f aca="false">IFERROR(S47/N47*100,"")</f>
        <v>90.625</v>
      </c>
      <c r="AA47" s="7" t="n">
        <f aca="false">IFERROR(T47/(W47*S47/60)*100,"")</f>
        <v>94.5632183908046</v>
      </c>
      <c r="AB47" s="7" t="n">
        <f aca="false">IFERROR(T47/(T47+U47)*100,"")</f>
        <v>98.0688997496722</v>
      </c>
      <c r="AC47" s="7" t="n">
        <f aca="false">IFERROR(Z47*AA47*AB47/10000,"")</f>
        <v>84.0430039833909</v>
      </c>
      <c r="AD47" s="6"/>
    </row>
    <row r="48" customFormat="false" ht="15" hidden="false" customHeight="false" outlineLevel="0" collapsed="false">
      <c r="A48" s="3" t="s">
        <v>120</v>
      </c>
      <c r="B48" s="3" t="s">
        <v>31</v>
      </c>
      <c r="C48" s="3" t="s">
        <v>67</v>
      </c>
      <c r="D48" s="3" t="s">
        <v>33</v>
      </c>
      <c r="E48" s="3" t="s">
        <v>46</v>
      </c>
      <c r="F48" s="3" t="s">
        <v>35</v>
      </c>
      <c r="G48" s="3" t="s">
        <v>123</v>
      </c>
      <c r="H48" s="3" t="s">
        <v>37</v>
      </c>
      <c r="I48" s="3" t="s">
        <v>124</v>
      </c>
      <c r="J48" s="3" t="s">
        <v>65</v>
      </c>
      <c r="K48" s="3" t="s">
        <v>66</v>
      </c>
      <c r="L48" s="3" t="s">
        <v>41</v>
      </c>
      <c r="M48" s="3" t="s">
        <v>42</v>
      </c>
      <c r="N48" s="4" t="n">
        <f aca="false">IFERROR(MOD(TIMEVALUE(M48)-TIMEVALUE(L48),1)*1440,"")</f>
        <v>480</v>
      </c>
      <c r="O48" s="5" t="n">
        <v>45</v>
      </c>
      <c r="P48" s="5" t="n">
        <v>20</v>
      </c>
      <c r="Q48" s="3" t="s">
        <v>43</v>
      </c>
      <c r="R48" s="3" t="s">
        <v>44</v>
      </c>
      <c r="S48" s="4" t="n">
        <f aca="false">IFERROR(N48-N(O48)-N(P48),"")</f>
        <v>415</v>
      </c>
      <c r="T48" s="5" t="n">
        <v>8379</v>
      </c>
      <c r="U48" s="5" t="n">
        <v>113</v>
      </c>
      <c r="V48" s="3" t="s">
        <v>45</v>
      </c>
      <c r="W48" s="5" t="n">
        <v>1400</v>
      </c>
      <c r="X48" s="5" t="n">
        <v>9184</v>
      </c>
      <c r="Y48" s="4" t="n">
        <f aca="false">IFERROR(T48/X48*100,"")</f>
        <v>91.234756097561</v>
      </c>
      <c r="Z48" s="4" t="n">
        <f aca="false">IFERROR(S48/N48*100,"")</f>
        <v>86.4583333333333</v>
      </c>
      <c r="AA48" s="4" t="n">
        <f aca="false">IFERROR(T48/(W48*S48/60)*100,"")</f>
        <v>86.5301204819277</v>
      </c>
      <c r="AB48" s="4" t="n">
        <f aca="false">IFERROR(T48/(T48+U48)*100,"")</f>
        <v>98.6693358455017</v>
      </c>
      <c r="AC48" s="4" t="n">
        <f aca="false">IFERROR(Z48*AA48*AB48/10000,"")</f>
        <v>73.8169968794159</v>
      </c>
      <c r="AD48" s="3"/>
    </row>
    <row r="49" customFormat="false" ht="15" hidden="false" customHeight="false" outlineLevel="0" collapsed="false">
      <c r="A49" s="6" t="s">
        <v>120</v>
      </c>
      <c r="B49" s="6" t="s">
        <v>31</v>
      </c>
      <c r="C49" s="6" t="s">
        <v>99</v>
      </c>
      <c r="D49" s="6" t="s">
        <v>33</v>
      </c>
      <c r="E49" s="6" t="s">
        <v>51</v>
      </c>
      <c r="F49" s="6" t="s">
        <v>52</v>
      </c>
      <c r="G49" s="6" t="s">
        <v>125</v>
      </c>
      <c r="H49" s="6" t="s">
        <v>37</v>
      </c>
      <c r="I49" s="6" t="s">
        <v>124</v>
      </c>
      <c r="J49" s="6" t="s">
        <v>65</v>
      </c>
      <c r="K49" s="6" t="s">
        <v>66</v>
      </c>
      <c r="L49" s="6" t="s">
        <v>41</v>
      </c>
      <c r="M49" s="6" t="s">
        <v>42</v>
      </c>
      <c r="N49" s="7" t="n">
        <f aca="false">IFERROR(MOD(TIMEVALUE(M49)-TIMEVALUE(L49),1)*1440,"")</f>
        <v>480</v>
      </c>
      <c r="O49" s="8" t="n">
        <v>15</v>
      </c>
      <c r="P49" s="8" t="n">
        <v>60</v>
      </c>
      <c r="Q49" s="6" t="s">
        <v>57</v>
      </c>
      <c r="R49" s="6" t="s">
        <v>50</v>
      </c>
      <c r="S49" s="7" t="n">
        <f aca="false">IFERROR(N49-N(O49)-N(P49),"")</f>
        <v>405</v>
      </c>
      <c r="T49" s="8" t="n">
        <v>8769</v>
      </c>
      <c r="U49" s="8" t="n">
        <v>165</v>
      </c>
      <c r="V49" s="6" t="s">
        <v>45</v>
      </c>
      <c r="W49" s="8" t="n">
        <v>1400</v>
      </c>
      <c r="X49" s="8" t="n">
        <v>9184</v>
      </c>
      <c r="Y49" s="7" t="n">
        <f aca="false">IFERROR(T49/X49*100,"")</f>
        <v>95.4812717770035</v>
      </c>
      <c r="Z49" s="7" t="n">
        <f aca="false">IFERROR(S49/N49*100,"")</f>
        <v>84.375</v>
      </c>
      <c r="AA49" s="7" t="n">
        <f aca="false">IFERROR(T49/(W49*S49/60)*100,"")</f>
        <v>92.7936507936508</v>
      </c>
      <c r="AB49" s="7" t="n">
        <f aca="false">IFERROR(T49/(T49+U49)*100,"")</f>
        <v>98.153122901276</v>
      </c>
      <c r="AC49" s="7" t="n">
        <f aca="false">IFERROR(Z49*AA49*AB49/10000,"")</f>
        <v>76.8486370286866</v>
      </c>
      <c r="AD49" s="6"/>
    </row>
    <row r="50" customFormat="false" ht="15" hidden="false" customHeight="false" outlineLevel="0" collapsed="false">
      <c r="A50" s="3" t="s">
        <v>120</v>
      </c>
      <c r="B50" s="3" t="s">
        <v>58</v>
      </c>
      <c r="C50" s="3" t="s">
        <v>67</v>
      </c>
      <c r="D50" s="3" t="s">
        <v>60</v>
      </c>
      <c r="E50" s="3" t="s">
        <v>34</v>
      </c>
      <c r="F50" s="3" t="s">
        <v>35</v>
      </c>
      <c r="G50" s="3" t="s">
        <v>126</v>
      </c>
      <c r="H50" s="3" t="s">
        <v>37</v>
      </c>
      <c r="I50" s="3" t="s">
        <v>127</v>
      </c>
      <c r="J50" s="3" t="s">
        <v>65</v>
      </c>
      <c r="K50" s="3" t="s">
        <v>66</v>
      </c>
      <c r="L50" s="3" t="s">
        <v>42</v>
      </c>
      <c r="M50" s="3" t="s">
        <v>63</v>
      </c>
      <c r="N50" s="4" t="n">
        <f aca="false">IFERROR(MOD(TIMEVALUE(M50)-TIMEVALUE(L50),1)*1440,"")</f>
        <v>480</v>
      </c>
      <c r="O50" s="5" t="n">
        <v>45</v>
      </c>
      <c r="P50" s="5" t="n">
        <v>0</v>
      </c>
      <c r="Q50" s="3"/>
      <c r="R50" s="3"/>
      <c r="S50" s="4" t="n">
        <f aca="false">IFERROR(N50-N(O50)-N(P50),"")</f>
        <v>435</v>
      </c>
      <c r="T50" s="5" t="n">
        <v>9931</v>
      </c>
      <c r="U50" s="5" t="n">
        <v>295</v>
      </c>
      <c r="V50" s="3" t="s">
        <v>45</v>
      </c>
      <c r="W50" s="5" t="n">
        <v>1400</v>
      </c>
      <c r="X50" s="5" t="n">
        <v>9184</v>
      </c>
      <c r="Y50" s="4" t="n">
        <f aca="false">IFERROR(T50/X50*100,"")</f>
        <v>108.133710801394</v>
      </c>
      <c r="Z50" s="4" t="n">
        <f aca="false">IFERROR(S50/N50*100,"")</f>
        <v>90.625</v>
      </c>
      <c r="AA50" s="4" t="n">
        <f aca="false">IFERROR(T50/(W50*S50/60)*100,"")</f>
        <v>97.8423645320197</v>
      </c>
      <c r="AB50" s="4" t="n">
        <f aca="false">IFERROR(T50/(T50+U50)*100,"")</f>
        <v>97.1151965577939</v>
      </c>
      <c r="AC50" s="4" t="n">
        <f aca="false">IFERROR(Z50*AA50*AB50/10000,"")</f>
        <v>86.1116979478081</v>
      </c>
      <c r="AD50" s="3"/>
    </row>
    <row r="51" customFormat="false" ht="15" hidden="false" customHeight="false" outlineLevel="0" collapsed="false">
      <c r="A51" s="6" t="s">
        <v>120</v>
      </c>
      <c r="B51" s="6" t="s">
        <v>58</v>
      </c>
      <c r="C51" s="6" t="s">
        <v>59</v>
      </c>
      <c r="D51" s="6" t="s">
        <v>60</v>
      </c>
      <c r="E51" s="6" t="s">
        <v>46</v>
      </c>
      <c r="F51" s="6" t="s">
        <v>35</v>
      </c>
      <c r="G51" s="6" t="s">
        <v>128</v>
      </c>
      <c r="H51" s="6" t="s">
        <v>37</v>
      </c>
      <c r="I51" s="6" t="s">
        <v>127</v>
      </c>
      <c r="J51" s="6" t="s">
        <v>39</v>
      </c>
      <c r="K51" s="6" t="s">
        <v>40</v>
      </c>
      <c r="L51" s="6" t="s">
        <v>42</v>
      </c>
      <c r="M51" s="6" t="s">
        <v>63</v>
      </c>
      <c r="N51" s="7" t="n">
        <f aca="false">IFERROR(MOD(TIMEVALUE(M51)-TIMEVALUE(L51),1)*1440,"")</f>
        <v>480</v>
      </c>
      <c r="O51" s="8" t="n">
        <v>0</v>
      </c>
      <c r="P51" s="8" t="n">
        <v>0</v>
      </c>
      <c r="Q51" s="6"/>
      <c r="R51" s="6"/>
      <c r="S51" s="7" t="n">
        <f aca="false">IFERROR(N51-N(O51)-N(P51),"")</f>
        <v>480</v>
      </c>
      <c r="T51" s="8" t="n">
        <v>6134</v>
      </c>
      <c r="U51" s="8" t="n">
        <v>57</v>
      </c>
      <c r="V51" s="6" t="s">
        <v>45</v>
      </c>
      <c r="W51" s="8" t="n">
        <v>950</v>
      </c>
      <c r="X51" s="8" t="n">
        <v>6232</v>
      </c>
      <c r="Y51" s="7" t="n">
        <f aca="false">IFERROR(T51/X51*100,"")</f>
        <v>98.4274711168164</v>
      </c>
      <c r="Z51" s="7" t="n">
        <f aca="false">IFERROR(S51/N51*100,"")</f>
        <v>100</v>
      </c>
      <c r="AA51" s="7" t="n">
        <f aca="false">IFERROR(T51/(W51*S51/60)*100,"")</f>
        <v>80.7105263157895</v>
      </c>
      <c r="AB51" s="7" t="n">
        <f aca="false">IFERROR(T51/(T51+U51)*100,"")</f>
        <v>99.0793086738814</v>
      </c>
      <c r="AC51" s="7" t="n">
        <f aca="false">IFERROR(Z51*AA51*AB51/10000,"")</f>
        <v>79.9674315007354</v>
      </c>
      <c r="AD51" s="6"/>
    </row>
    <row r="52" customFormat="false" ht="15" hidden="false" customHeight="false" outlineLevel="0" collapsed="false">
      <c r="A52" s="3" t="s">
        <v>120</v>
      </c>
      <c r="B52" s="3" t="s">
        <v>58</v>
      </c>
      <c r="C52" s="3" t="s">
        <v>32</v>
      </c>
      <c r="D52" s="3" t="s">
        <v>60</v>
      </c>
      <c r="E52" s="3" t="s">
        <v>51</v>
      </c>
      <c r="F52" s="3" t="s">
        <v>52</v>
      </c>
      <c r="G52" s="3" t="s">
        <v>129</v>
      </c>
      <c r="H52" s="3" t="s">
        <v>37</v>
      </c>
      <c r="I52" s="3" t="s">
        <v>124</v>
      </c>
      <c r="J52" s="3" t="s">
        <v>55</v>
      </c>
      <c r="K52" s="3" t="s">
        <v>56</v>
      </c>
      <c r="L52" s="3" t="s">
        <v>42</v>
      </c>
      <c r="M52" s="3" t="s">
        <v>63</v>
      </c>
      <c r="N52" s="4" t="n">
        <f aca="false">IFERROR(MOD(TIMEVALUE(M52)-TIMEVALUE(L52),1)*1440,"")</f>
        <v>480</v>
      </c>
      <c r="O52" s="5" t="n">
        <v>20</v>
      </c>
      <c r="P52" s="5" t="n">
        <v>0</v>
      </c>
      <c r="Q52" s="3"/>
      <c r="R52" s="3"/>
      <c r="S52" s="4" t="n">
        <f aca="false">IFERROR(N52-N(O52)-N(P52),"")</f>
        <v>460</v>
      </c>
      <c r="T52" s="5" t="n">
        <v>7999</v>
      </c>
      <c r="U52" s="5" t="n">
        <v>175</v>
      </c>
      <c r="V52" s="3" t="s">
        <v>45</v>
      </c>
      <c r="W52" s="5" t="n">
        <v>1200</v>
      </c>
      <c r="X52" s="5" t="n">
        <v>7871</v>
      </c>
      <c r="Y52" s="4" t="n">
        <f aca="false">IFERROR(T52/X52*100,"")</f>
        <v>101.626222843349</v>
      </c>
      <c r="Z52" s="4" t="n">
        <f aca="false">IFERROR(S52/N52*100,"")</f>
        <v>95.8333333333333</v>
      </c>
      <c r="AA52" s="4" t="n">
        <f aca="false">IFERROR(T52/(W52*S52/60)*100,"")</f>
        <v>86.9456521739131</v>
      </c>
      <c r="AB52" s="4" t="n">
        <f aca="false">IFERROR(T52/(T52+U52)*100,"")</f>
        <v>97.8590653290923</v>
      </c>
      <c r="AC52" s="4" t="n">
        <f aca="false">IFERROR(Z52*AA52*AB52/10000,"")</f>
        <v>81.5390274549384</v>
      </c>
      <c r="AD52" s="3"/>
    </row>
    <row r="53" customFormat="false" ht="15" hidden="false" customHeight="false" outlineLevel="0" collapsed="false">
      <c r="A53" s="6" t="s">
        <v>120</v>
      </c>
      <c r="B53" s="6" t="s">
        <v>69</v>
      </c>
      <c r="C53" s="6" t="s">
        <v>76</v>
      </c>
      <c r="D53" s="6" t="s">
        <v>71</v>
      </c>
      <c r="E53" s="6" t="s">
        <v>34</v>
      </c>
      <c r="F53" s="6" t="s">
        <v>35</v>
      </c>
      <c r="G53" s="6" t="s">
        <v>130</v>
      </c>
      <c r="H53" s="6" t="s">
        <v>37</v>
      </c>
      <c r="I53" s="6" t="s">
        <v>127</v>
      </c>
      <c r="J53" s="6" t="s">
        <v>65</v>
      </c>
      <c r="K53" s="6" t="s">
        <v>66</v>
      </c>
      <c r="L53" s="6" t="s">
        <v>63</v>
      </c>
      <c r="M53" s="6" t="s">
        <v>41</v>
      </c>
      <c r="N53" s="7" t="n">
        <f aca="false">IFERROR(MOD(TIMEVALUE(M53)-TIMEVALUE(L53),1)*1440,"")</f>
        <v>480</v>
      </c>
      <c r="O53" s="8" t="n">
        <v>45</v>
      </c>
      <c r="P53" s="8" t="n">
        <v>45</v>
      </c>
      <c r="Q53" s="6" t="s">
        <v>95</v>
      </c>
      <c r="R53" s="6" t="s">
        <v>50</v>
      </c>
      <c r="S53" s="7" t="n">
        <f aca="false">IFERROR(N53-N(O53)-N(P53),"")</f>
        <v>390</v>
      </c>
      <c r="T53" s="8" t="n">
        <v>8974</v>
      </c>
      <c r="U53" s="8" t="n">
        <v>508</v>
      </c>
      <c r="V53" s="6" t="s">
        <v>45</v>
      </c>
      <c r="W53" s="8" t="n">
        <v>1400</v>
      </c>
      <c r="X53" s="8" t="n">
        <v>9184</v>
      </c>
      <c r="Y53" s="7" t="n">
        <f aca="false">IFERROR(T53/X53*100,"")</f>
        <v>97.7134146341464</v>
      </c>
      <c r="Z53" s="7" t="n">
        <f aca="false">IFERROR(S53/N53*100,"")</f>
        <v>81.25</v>
      </c>
      <c r="AA53" s="7" t="n">
        <f aca="false">IFERROR(T53/(W53*S53/60)*100,"")</f>
        <v>98.6153846153846</v>
      </c>
      <c r="AB53" s="7" t="n">
        <f aca="false">IFERROR(T53/(T53+U53)*100,"")</f>
        <v>94.6424804893482</v>
      </c>
      <c r="AC53" s="7" t="n">
        <f aca="false">IFERROR(Z53*AA53*AB53/10000,"")</f>
        <v>75.8322874920903</v>
      </c>
      <c r="AD53" s="6"/>
    </row>
    <row r="54" customFormat="false" ht="15" hidden="false" customHeight="false" outlineLevel="0" collapsed="false">
      <c r="A54" s="3" t="s">
        <v>120</v>
      </c>
      <c r="B54" s="3" t="s">
        <v>69</v>
      </c>
      <c r="C54" s="3" t="s">
        <v>76</v>
      </c>
      <c r="D54" s="3" t="s">
        <v>71</v>
      </c>
      <c r="E54" s="3" t="s">
        <v>46</v>
      </c>
      <c r="F54" s="3" t="s">
        <v>35</v>
      </c>
      <c r="G54" s="3" t="s">
        <v>131</v>
      </c>
      <c r="H54" s="3" t="s">
        <v>37</v>
      </c>
      <c r="I54" s="3" t="s">
        <v>127</v>
      </c>
      <c r="J54" s="3" t="s">
        <v>65</v>
      </c>
      <c r="K54" s="3" t="s">
        <v>66</v>
      </c>
      <c r="L54" s="3" t="s">
        <v>63</v>
      </c>
      <c r="M54" s="3" t="s">
        <v>41</v>
      </c>
      <c r="N54" s="4" t="n">
        <f aca="false">IFERROR(MOD(TIMEVALUE(M54)-TIMEVALUE(L54),1)*1440,"")</f>
        <v>480</v>
      </c>
      <c r="O54" s="5" t="n">
        <v>20</v>
      </c>
      <c r="P54" s="5" t="n">
        <v>0</v>
      </c>
      <c r="Q54" s="3"/>
      <c r="R54" s="3"/>
      <c r="S54" s="4" t="n">
        <f aca="false">IFERROR(N54-N(O54)-N(P54),"")</f>
        <v>460</v>
      </c>
      <c r="T54" s="5" t="n">
        <v>10085</v>
      </c>
      <c r="U54" s="5" t="n">
        <v>666</v>
      </c>
      <c r="V54" s="3" t="s">
        <v>45</v>
      </c>
      <c r="W54" s="5" t="n">
        <v>1400</v>
      </c>
      <c r="X54" s="5" t="n">
        <v>9184</v>
      </c>
      <c r="Y54" s="4" t="n">
        <f aca="false">IFERROR(T54/X54*100,"")</f>
        <v>109.810540069686</v>
      </c>
      <c r="Z54" s="4" t="n">
        <f aca="false">IFERROR(S54/N54*100,"")</f>
        <v>95.8333333333333</v>
      </c>
      <c r="AA54" s="4" t="n">
        <f aca="false">IFERROR(T54/(W54*S54/60)*100,"")</f>
        <v>93.9596273291925</v>
      </c>
      <c r="AB54" s="4" t="n">
        <f aca="false">IFERROR(T54/(T54+U54)*100,"")</f>
        <v>93.8052274207051</v>
      </c>
      <c r="AC54" s="4" t="n">
        <f aca="false">IFERROR(Z54*AA54*AB54/10000,"")</f>
        <v>84.4665820123045</v>
      </c>
      <c r="AD54" s="3"/>
    </row>
    <row r="55" customFormat="false" ht="15" hidden="false" customHeight="false" outlineLevel="0" collapsed="false">
      <c r="A55" s="6" t="s">
        <v>120</v>
      </c>
      <c r="B55" s="6" t="s">
        <v>69</v>
      </c>
      <c r="C55" s="6" t="s">
        <v>76</v>
      </c>
      <c r="D55" s="6" t="s">
        <v>71</v>
      </c>
      <c r="E55" s="6" t="s">
        <v>51</v>
      </c>
      <c r="F55" s="6" t="s">
        <v>52</v>
      </c>
      <c r="G55" s="6" t="s">
        <v>132</v>
      </c>
      <c r="H55" s="6" t="s">
        <v>37</v>
      </c>
      <c r="I55" s="6" t="s">
        <v>127</v>
      </c>
      <c r="J55" s="6" t="s">
        <v>39</v>
      </c>
      <c r="K55" s="6" t="s">
        <v>40</v>
      </c>
      <c r="L55" s="6" t="s">
        <v>63</v>
      </c>
      <c r="M55" s="6" t="s">
        <v>41</v>
      </c>
      <c r="N55" s="7" t="n">
        <f aca="false">IFERROR(MOD(TIMEVALUE(M55)-TIMEVALUE(L55),1)*1440,"")</f>
        <v>480</v>
      </c>
      <c r="O55" s="8" t="n">
        <v>0</v>
      </c>
      <c r="P55" s="8" t="n">
        <v>30</v>
      </c>
      <c r="Q55" s="6" t="s">
        <v>74</v>
      </c>
      <c r="R55" s="6" t="s">
        <v>50</v>
      </c>
      <c r="S55" s="7" t="n">
        <f aca="false">IFERROR(N55-N(O55)-N(P55),"")</f>
        <v>450</v>
      </c>
      <c r="T55" s="8" t="n">
        <v>5733</v>
      </c>
      <c r="U55" s="8" t="n">
        <v>234</v>
      </c>
      <c r="V55" s="6" t="s">
        <v>45</v>
      </c>
      <c r="W55" s="8" t="n">
        <v>950</v>
      </c>
      <c r="X55" s="8" t="n">
        <v>6232</v>
      </c>
      <c r="Y55" s="7" t="n">
        <f aca="false">IFERROR(T55/X55*100,"")</f>
        <v>91.9929396662388</v>
      </c>
      <c r="Z55" s="7" t="n">
        <f aca="false">IFERROR(S55/N55*100,"")</f>
        <v>93.75</v>
      </c>
      <c r="AA55" s="7" t="n">
        <f aca="false">IFERROR(T55/(W55*S55/60)*100,"")</f>
        <v>80.4631578947368</v>
      </c>
      <c r="AB55" s="7" t="n">
        <f aca="false">IFERROR(T55/(T55+U55)*100,"")</f>
        <v>96.078431372549</v>
      </c>
      <c r="AC55" s="7" t="n">
        <f aca="false">IFERROR(Z55*AA55*AB55/10000,"")</f>
        <v>72.4760061919505</v>
      </c>
      <c r="AD55" s="6"/>
    </row>
    <row r="56" customFormat="false" ht="15" hidden="false" customHeight="false" outlineLevel="0" collapsed="false">
      <c r="A56" s="3" t="s">
        <v>127</v>
      </c>
      <c r="B56" s="3" t="s">
        <v>31</v>
      </c>
      <c r="C56" s="3" t="s">
        <v>99</v>
      </c>
      <c r="D56" s="3" t="s">
        <v>33</v>
      </c>
      <c r="E56" s="3" t="s">
        <v>34</v>
      </c>
      <c r="F56" s="3" t="s">
        <v>35</v>
      </c>
      <c r="G56" s="3" t="s">
        <v>133</v>
      </c>
      <c r="H56" s="3" t="s">
        <v>62</v>
      </c>
      <c r="I56" s="3"/>
      <c r="J56" s="3" t="s">
        <v>39</v>
      </c>
      <c r="K56" s="3" t="s">
        <v>40</v>
      </c>
      <c r="L56" s="3" t="s">
        <v>41</v>
      </c>
      <c r="M56" s="3" t="s">
        <v>42</v>
      </c>
      <c r="N56" s="4" t="n">
        <f aca="false">IFERROR(MOD(TIMEVALUE(M56)-TIMEVALUE(L56),1)*1440,"")</f>
        <v>480</v>
      </c>
      <c r="O56" s="5" t="n">
        <v>20</v>
      </c>
      <c r="P56" s="5" t="n">
        <v>0</v>
      </c>
      <c r="Q56" s="3"/>
      <c r="R56" s="3"/>
      <c r="S56" s="4" t="n">
        <f aca="false">IFERROR(N56-N(O56)-N(P56),"")</f>
        <v>460</v>
      </c>
      <c r="T56" s="5" t="n">
        <v>6949</v>
      </c>
      <c r="U56" s="5" t="n">
        <v>62</v>
      </c>
      <c r="V56" s="3" t="s">
        <v>45</v>
      </c>
      <c r="W56" s="5" t="n">
        <v>950</v>
      </c>
      <c r="X56" s="5" t="n">
        <v>6232</v>
      </c>
      <c r="Y56" s="4" t="n">
        <f aca="false">IFERROR(T56/X56*100,"")</f>
        <v>111.50513478819</v>
      </c>
      <c r="Z56" s="4" t="n">
        <f aca="false">IFERROR(S56/N56*100,"")</f>
        <v>95.8333333333333</v>
      </c>
      <c r="AA56" s="4" t="n">
        <f aca="false">IFERROR(T56/(W56*S56/60)*100,"")</f>
        <v>95.4096109839817</v>
      </c>
      <c r="AB56" s="4" t="n">
        <f aca="false">IFERROR(T56/(T56+U56)*100,"")</f>
        <v>99.11567536728</v>
      </c>
      <c r="AC56" s="4" t="n">
        <f aca="false">IFERROR(Z56*AA56*AB56/10000,"")</f>
        <v>90.6256352798985</v>
      </c>
      <c r="AD56" s="3"/>
    </row>
    <row r="57" customFormat="false" ht="15" hidden="false" customHeight="false" outlineLevel="0" collapsed="false">
      <c r="A57" s="6" t="s">
        <v>127</v>
      </c>
      <c r="B57" s="6" t="s">
        <v>31</v>
      </c>
      <c r="C57" s="6" t="s">
        <v>70</v>
      </c>
      <c r="D57" s="6" t="s">
        <v>33</v>
      </c>
      <c r="E57" s="6" t="s">
        <v>46</v>
      </c>
      <c r="F57" s="6" t="s">
        <v>35</v>
      </c>
      <c r="G57" s="6" t="s">
        <v>134</v>
      </c>
      <c r="H57" s="6" t="s">
        <v>37</v>
      </c>
      <c r="I57" s="6" t="s">
        <v>135</v>
      </c>
      <c r="J57" s="6" t="s">
        <v>39</v>
      </c>
      <c r="K57" s="6" t="s">
        <v>40</v>
      </c>
      <c r="L57" s="6" t="s">
        <v>41</v>
      </c>
      <c r="M57" s="6" t="s">
        <v>42</v>
      </c>
      <c r="N57" s="7" t="n">
        <f aca="false">IFERROR(MOD(TIMEVALUE(M57)-TIMEVALUE(L57),1)*1440,"")</f>
        <v>480</v>
      </c>
      <c r="O57" s="8" t="n">
        <v>0</v>
      </c>
      <c r="P57" s="8" t="n">
        <v>45</v>
      </c>
      <c r="Q57" s="6" t="s">
        <v>43</v>
      </c>
      <c r="R57" s="6" t="s">
        <v>44</v>
      </c>
      <c r="S57" s="7" t="n">
        <f aca="false">IFERROR(N57-N(O57)-N(P57),"")</f>
        <v>435</v>
      </c>
      <c r="T57" s="8" t="n">
        <v>6004</v>
      </c>
      <c r="U57" s="8" t="n">
        <v>121</v>
      </c>
      <c r="V57" s="6" t="s">
        <v>45</v>
      </c>
      <c r="W57" s="8" t="n">
        <v>950</v>
      </c>
      <c r="X57" s="8" t="n">
        <v>6232</v>
      </c>
      <c r="Y57" s="7" t="n">
        <f aca="false">IFERROR(T57/X57*100,"")</f>
        <v>96.3414634146342</v>
      </c>
      <c r="Z57" s="7" t="n">
        <f aca="false">IFERROR(S57/N57*100,"")</f>
        <v>90.625</v>
      </c>
      <c r="AA57" s="7" t="n">
        <f aca="false">IFERROR(T57/(W57*S57/60)*100,"")</f>
        <v>87.1724137931035</v>
      </c>
      <c r="AB57" s="7" t="n">
        <f aca="false">IFERROR(T57/(T57+U57)*100,"")</f>
        <v>98.0244897959184</v>
      </c>
      <c r="AC57" s="7" t="n">
        <f aca="false">IFERROR(Z57*AA57*AB57/10000,"")</f>
        <v>77.4393469387755</v>
      </c>
      <c r="AD57" s="6"/>
    </row>
    <row r="58" customFormat="false" ht="15" hidden="false" customHeight="false" outlineLevel="0" collapsed="false">
      <c r="A58" s="3" t="s">
        <v>127</v>
      </c>
      <c r="B58" s="3" t="s">
        <v>31</v>
      </c>
      <c r="C58" s="3" t="s">
        <v>76</v>
      </c>
      <c r="D58" s="3" t="s">
        <v>33</v>
      </c>
      <c r="E58" s="3" t="s">
        <v>51</v>
      </c>
      <c r="F58" s="3" t="s">
        <v>52</v>
      </c>
      <c r="G58" s="3" t="s">
        <v>136</v>
      </c>
      <c r="H58" s="3" t="s">
        <v>37</v>
      </c>
      <c r="I58" s="3" t="s">
        <v>135</v>
      </c>
      <c r="J58" s="3" t="s">
        <v>39</v>
      </c>
      <c r="K58" s="3" t="s">
        <v>40</v>
      </c>
      <c r="L58" s="3" t="s">
        <v>41</v>
      </c>
      <c r="M58" s="3" t="s">
        <v>42</v>
      </c>
      <c r="N58" s="4" t="n">
        <f aca="false">IFERROR(MOD(TIMEVALUE(M58)-TIMEVALUE(L58),1)*1440,"")</f>
        <v>480</v>
      </c>
      <c r="O58" s="5" t="n">
        <v>0</v>
      </c>
      <c r="P58" s="5" t="n">
        <v>45</v>
      </c>
      <c r="Q58" s="3" t="s">
        <v>74</v>
      </c>
      <c r="R58" s="3" t="s">
        <v>50</v>
      </c>
      <c r="S58" s="4" t="n">
        <f aca="false">IFERROR(N58-N(O58)-N(P58),"")</f>
        <v>435</v>
      </c>
      <c r="T58" s="5" t="n">
        <v>6499</v>
      </c>
      <c r="U58" s="5" t="n">
        <v>467</v>
      </c>
      <c r="V58" s="3" t="s">
        <v>45</v>
      </c>
      <c r="W58" s="5" t="n">
        <v>950</v>
      </c>
      <c r="X58" s="5" t="n">
        <v>6232</v>
      </c>
      <c r="Y58" s="4" t="n">
        <f aca="false">IFERROR(T58/X58*100,"")</f>
        <v>104.284338896021</v>
      </c>
      <c r="Z58" s="4" t="n">
        <f aca="false">IFERROR(S58/N58*100,"")</f>
        <v>90.625</v>
      </c>
      <c r="AA58" s="4" t="n">
        <f aca="false">IFERROR(T58/(W58*S58/60)*100,"")</f>
        <v>94.3593466424682</v>
      </c>
      <c r="AB58" s="4" t="n">
        <f aca="false">IFERROR(T58/(T58+U58)*100,"")</f>
        <v>93.2960091874821</v>
      </c>
      <c r="AC58" s="4" t="n">
        <f aca="false">IFERROR(Z58*AA58*AB58/10000,"")</f>
        <v>79.7803636459797</v>
      </c>
      <c r="AD58" s="3"/>
    </row>
    <row r="59" customFormat="false" ht="15" hidden="false" customHeight="false" outlineLevel="0" collapsed="false">
      <c r="A59" s="6" t="s">
        <v>127</v>
      </c>
      <c r="B59" s="6" t="s">
        <v>58</v>
      </c>
      <c r="C59" s="6" t="s">
        <v>32</v>
      </c>
      <c r="D59" s="6" t="s">
        <v>60</v>
      </c>
      <c r="E59" s="6" t="s">
        <v>34</v>
      </c>
      <c r="F59" s="6" t="s">
        <v>35</v>
      </c>
      <c r="G59" s="6" t="s">
        <v>137</v>
      </c>
      <c r="H59" s="6" t="s">
        <v>37</v>
      </c>
      <c r="I59" s="6" t="s">
        <v>124</v>
      </c>
      <c r="J59" s="6" t="s">
        <v>65</v>
      </c>
      <c r="K59" s="6" t="s">
        <v>66</v>
      </c>
      <c r="L59" s="6" t="s">
        <v>42</v>
      </c>
      <c r="M59" s="6" t="s">
        <v>63</v>
      </c>
      <c r="N59" s="7" t="n">
        <f aca="false">IFERROR(MOD(TIMEVALUE(M59)-TIMEVALUE(L59),1)*1440,"")</f>
        <v>480</v>
      </c>
      <c r="O59" s="8" t="n">
        <v>15</v>
      </c>
      <c r="P59" s="8" t="n">
        <v>0</v>
      </c>
      <c r="Q59" s="6"/>
      <c r="R59" s="6"/>
      <c r="S59" s="7" t="n">
        <f aca="false">IFERROR(N59-N(O59)-N(P59),"")</f>
        <v>465</v>
      </c>
      <c r="T59" s="8" t="n">
        <v>9351</v>
      </c>
      <c r="U59" s="8" t="n">
        <v>84</v>
      </c>
      <c r="V59" s="6" t="s">
        <v>45</v>
      </c>
      <c r="W59" s="8" t="n">
        <v>1400</v>
      </c>
      <c r="X59" s="8" t="n">
        <v>9184</v>
      </c>
      <c r="Y59" s="7" t="n">
        <f aca="false">IFERROR(T59/X59*100,"")</f>
        <v>101.818379790941</v>
      </c>
      <c r="Z59" s="7" t="n">
        <f aca="false">IFERROR(S59/N59*100,"")</f>
        <v>96.875</v>
      </c>
      <c r="AA59" s="7" t="n">
        <f aca="false">IFERROR(T59/(W59*S59/60)*100,"")</f>
        <v>86.184331797235</v>
      </c>
      <c r="AB59" s="7" t="n">
        <f aca="false">IFERROR(T59/(T59+U59)*100,"")</f>
        <v>99.1096979332274</v>
      </c>
      <c r="AC59" s="7" t="n">
        <f aca="false">IFERROR(Z59*AA59*AB59/10000,"")</f>
        <v>82.7477486940722</v>
      </c>
      <c r="AD59" s="6"/>
    </row>
    <row r="60" customFormat="false" ht="15" hidden="false" customHeight="false" outlineLevel="0" collapsed="false">
      <c r="A60" s="3" t="s">
        <v>127</v>
      </c>
      <c r="B60" s="3" t="s">
        <v>58</v>
      </c>
      <c r="C60" s="3"/>
      <c r="D60" s="3" t="s">
        <v>60</v>
      </c>
      <c r="E60" s="3" t="s">
        <v>46</v>
      </c>
      <c r="F60" s="3" t="s">
        <v>35</v>
      </c>
      <c r="G60" s="3" t="s">
        <v>138</v>
      </c>
      <c r="H60" s="3" t="s">
        <v>37</v>
      </c>
      <c r="I60" s="3" t="s">
        <v>124</v>
      </c>
      <c r="J60" s="3" t="s">
        <v>55</v>
      </c>
      <c r="K60" s="3" t="s">
        <v>56</v>
      </c>
      <c r="L60" s="3" t="s">
        <v>42</v>
      </c>
      <c r="M60" s="3" t="s">
        <v>63</v>
      </c>
      <c r="N60" s="4" t="n">
        <f aca="false">IFERROR(MOD(TIMEVALUE(M60)-TIMEVALUE(L60),1)*1440,"")</f>
        <v>480</v>
      </c>
      <c r="O60" s="5" t="n">
        <v>20</v>
      </c>
      <c r="P60" s="5" t="n">
        <v>45</v>
      </c>
      <c r="Q60" s="3" t="s">
        <v>43</v>
      </c>
      <c r="R60" s="3" t="s">
        <v>44</v>
      </c>
      <c r="S60" s="4" t="n">
        <f aca="false">IFERROR(N60-N(O60)-N(P60),"")</f>
        <v>415</v>
      </c>
      <c r="T60" s="5" t="n">
        <v>7144</v>
      </c>
      <c r="U60" s="5" t="n">
        <v>53</v>
      </c>
      <c r="V60" s="3" t="s">
        <v>45</v>
      </c>
      <c r="W60" s="5" t="n">
        <v>1200</v>
      </c>
      <c r="X60" s="5" t="n">
        <v>7871</v>
      </c>
      <c r="Y60" s="4" t="n">
        <f aca="false">IFERROR(T60/X60*100,"")</f>
        <v>90.7635624444162</v>
      </c>
      <c r="Z60" s="4" t="n">
        <f aca="false">IFERROR(S60/N60*100,"")</f>
        <v>86.4583333333333</v>
      </c>
      <c r="AA60" s="4" t="n">
        <f aca="false">IFERROR(T60/(W60*S60/60)*100,"")</f>
        <v>86.0722891566265</v>
      </c>
      <c r="AB60" s="4" t="n">
        <f aca="false">IFERROR(T60/(T60+U60)*100,"")</f>
        <v>99.2635820480756</v>
      </c>
      <c r="AC60" s="4" t="n">
        <f aca="false">IFERROR(Z60*AA60*AB60/10000,"")</f>
        <v>73.8686489741096</v>
      </c>
      <c r="AD60" s="3"/>
    </row>
    <row r="61" customFormat="false" ht="15" hidden="false" customHeight="false" outlineLevel="0" collapsed="false">
      <c r="A61" s="6" t="s">
        <v>127</v>
      </c>
      <c r="B61" s="6" t="s">
        <v>58</v>
      </c>
      <c r="C61" s="6" t="s">
        <v>70</v>
      </c>
      <c r="D61" s="6" t="s">
        <v>60</v>
      </c>
      <c r="E61" s="6" t="s">
        <v>51</v>
      </c>
      <c r="F61" s="6" t="s">
        <v>52</v>
      </c>
      <c r="G61" s="6" t="s">
        <v>139</v>
      </c>
      <c r="H61" s="6" t="s">
        <v>37</v>
      </c>
      <c r="I61" s="6" t="s">
        <v>140</v>
      </c>
      <c r="J61" s="6" t="s">
        <v>65</v>
      </c>
      <c r="K61" s="6" t="s">
        <v>66</v>
      </c>
      <c r="L61" s="6" t="s">
        <v>42</v>
      </c>
      <c r="M61" s="6" t="s">
        <v>63</v>
      </c>
      <c r="N61" s="7" t="n">
        <f aca="false">IFERROR(MOD(TIMEVALUE(M61)-TIMEVALUE(L61),1)*1440,"")</f>
        <v>480</v>
      </c>
      <c r="O61" s="8" t="n">
        <v>0</v>
      </c>
      <c r="P61" s="8" t="n">
        <v>95</v>
      </c>
      <c r="Q61" s="6" t="s">
        <v>95</v>
      </c>
      <c r="R61" s="6" t="s">
        <v>50</v>
      </c>
      <c r="S61" s="7" t="n">
        <f aca="false">IFERROR(N61-N(O61)-N(P61),"")</f>
        <v>385</v>
      </c>
      <c r="T61" s="8" t="n">
        <v>8293</v>
      </c>
      <c r="U61" s="8" t="n">
        <v>233</v>
      </c>
      <c r="V61" s="6" t="s">
        <v>45</v>
      </c>
      <c r="W61" s="8" t="n">
        <v>1400</v>
      </c>
      <c r="X61" s="8" t="n">
        <v>9184</v>
      </c>
      <c r="Y61" s="7" t="n">
        <f aca="false">IFERROR(T61/X61*100,"")</f>
        <v>90.2983449477352</v>
      </c>
      <c r="Z61" s="7" t="n">
        <f aca="false">IFERROR(S61/N61*100,"")</f>
        <v>80.2083333333333</v>
      </c>
      <c r="AA61" s="7" t="n">
        <f aca="false">IFERROR(T61/(W61*S61/60)*100,"")</f>
        <v>92.3153988868275</v>
      </c>
      <c r="AB61" s="7" t="n">
        <f aca="false">IFERROR(T61/(T61+U61)*100,"")</f>
        <v>97.267182735163</v>
      </c>
      <c r="AC61" s="7" t="n">
        <f aca="false">IFERROR(Z61*AA61*AB61/10000,"")</f>
        <v>72.021138073456</v>
      </c>
      <c r="AD61" s="6"/>
    </row>
    <row r="62" customFormat="false" ht="15" hidden="false" customHeight="false" outlineLevel="0" collapsed="false">
      <c r="A62" s="3" t="s">
        <v>127</v>
      </c>
      <c r="B62" s="3" t="s">
        <v>69</v>
      </c>
      <c r="C62" s="3" t="s">
        <v>59</v>
      </c>
      <c r="D62" s="3" t="s">
        <v>71</v>
      </c>
      <c r="E62" s="3" t="s">
        <v>34</v>
      </c>
      <c r="F62" s="3" t="s">
        <v>35</v>
      </c>
      <c r="G62" s="3" t="s">
        <v>141</v>
      </c>
      <c r="H62" s="3" t="s">
        <v>37</v>
      </c>
      <c r="I62" s="3" t="s">
        <v>124</v>
      </c>
      <c r="J62" s="3" t="s">
        <v>65</v>
      </c>
      <c r="K62" s="3" t="s">
        <v>66</v>
      </c>
      <c r="L62" s="3" t="s">
        <v>63</v>
      </c>
      <c r="M62" s="3" t="s">
        <v>41</v>
      </c>
      <c r="N62" s="4" t="n">
        <f aca="false">IFERROR(MOD(TIMEVALUE(M62)-TIMEVALUE(L62),1)*1440,"")</f>
        <v>480</v>
      </c>
      <c r="O62" s="5" t="n">
        <v>30</v>
      </c>
      <c r="P62" s="5" t="n">
        <v>0</v>
      </c>
      <c r="Q62" s="3"/>
      <c r="R62" s="3"/>
      <c r="S62" s="4" t="n">
        <f aca="false">IFERROR(N62-N(O62)-N(P62),"")</f>
        <v>450</v>
      </c>
      <c r="T62" s="5" t="n">
        <v>7634</v>
      </c>
      <c r="U62" s="5" t="n">
        <v>141</v>
      </c>
      <c r="V62" s="3" t="s">
        <v>45</v>
      </c>
      <c r="W62" s="5" t="n">
        <v>1400</v>
      </c>
      <c r="X62" s="5" t="n">
        <v>9184</v>
      </c>
      <c r="Y62" s="4" t="n">
        <f aca="false">IFERROR(T62/X62*100,"")</f>
        <v>83.1228222996516</v>
      </c>
      <c r="Z62" s="4" t="n">
        <f aca="false">IFERROR(S62/N62*100,"")</f>
        <v>93.75</v>
      </c>
      <c r="AA62" s="4" t="n">
        <f aca="false">IFERROR(T62/(W62*S62/60)*100,"")</f>
        <v>72.7047619047619</v>
      </c>
      <c r="AB62" s="4" t="n">
        <f aca="false">IFERROR(T62/(T62+U62)*100,"")</f>
        <v>98.1864951768489</v>
      </c>
      <c r="AC62" s="4" t="n">
        <f aca="false">IFERROR(Z62*AA62*AB62/10000,"")</f>
        <v>66.9246164446486</v>
      </c>
      <c r="AD62" s="3"/>
    </row>
    <row r="63" customFormat="false" ht="15" hidden="false" customHeight="false" outlineLevel="0" collapsed="false">
      <c r="A63" s="6" t="s">
        <v>127</v>
      </c>
      <c r="B63" s="6" t="s">
        <v>69</v>
      </c>
      <c r="C63" s="6" t="s">
        <v>99</v>
      </c>
      <c r="D63" s="6" t="s">
        <v>71</v>
      </c>
      <c r="E63" s="6" t="s">
        <v>46</v>
      </c>
      <c r="F63" s="6" t="s">
        <v>35</v>
      </c>
      <c r="G63" s="6" t="s">
        <v>142</v>
      </c>
      <c r="H63" s="6" t="s">
        <v>37</v>
      </c>
      <c r="I63" s="6" t="s">
        <v>124</v>
      </c>
      <c r="J63" s="6" t="s">
        <v>39</v>
      </c>
      <c r="K63" s="6" t="s">
        <v>40</v>
      </c>
      <c r="L63" s="6" t="s">
        <v>63</v>
      </c>
      <c r="M63" s="6" t="s">
        <v>41</v>
      </c>
      <c r="N63" s="7" t="n">
        <f aca="false">IFERROR(MOD(TIMEVALUE(M63)-TIMEVALUE(L63),1)*1440,"")</f>
        <v>480</v>
      </c>
      <c r="O63" s="8" t="n">
        <v>0</v>
      </c>
      <c r="P63" s="8" t="n">
        <v>80</v>
      </c>
      <c r="Q63" s="6" t="s">
        <v>95</v>
      </c>
      <c r="R63" s="6" t="s">
        <v>50</v>
      </c>
      <c r="S63" s="7" t="n">
        <f aca="false">IFERROR(N63-N(O63)-N(P63),"")</f>
        <v>400</v>
      </c>
      <c r="T63" s="8" t="n">
        <v>6143</v>
      </c>
      <c r="U63" s="8" t="n">
        <v>158</v>
      </c>
      <c r="V63" s="6" t="s">
        <v>45</v>
      </c>
      <c r="W63" s="8" t="n">
        <v>950</v>
      </c>
      <c r="X63" s="8" t="n">
        <v>6232</v>
      </c>
      <c r="Y63" s="7" t="n">
        <f aca="false">IFERROR(T63/X63*100,"")</f>
        <v>98.5718870346598</v>
      </c>
      <c r="Z63" s="7" t="n">
        <f aca="false">IFERROR(S63/N63*100,"")</f>
        <v>83.3333333333333</v>
      </c>
      <c r="AA63" s="7" t="n">
        <f aca="false">IFERROR(T63/(W63*S63/60)*100,"")</f>
        <v>96.9947368421053</v>
      </c>
      <c r="AB63" s="7" t="n">
        <f aca="false">IFERROR(T63/(T63+U63)*100,"")</f>
        <v>97.4924615140454</v>
      </c>
      <c r="AC63" s="7" t="n">
        <f aca="false">IFERROR(Z63*AA63*AB63/10000,"")</f>
        <v>78.8021304053659</v>
      </c>
      <c r="AD63" s="6"/>
    </row>
    <row r="64" customFormat="false" ht="15" hidden="false" customHeight="false" outlineLevel="0" collapsed="false">
      <c r="A64" s="3" t="s">
        <v>127</v>
      </c>
      <c r="B64" s="3" t="s">
        <v>69</v>
      </c>
      <c r="C64" s="3" t="s">
        <v>70</v>
      </c>
      <c r="D64" s="3" t="s">
        <v>71</v>
      </c>
      <c r="E64" s="3" t="s">
        <v>51</v>
      </c>
      <c r="F64" s="3" t="s">
        <v>52</v>
      </c>
      <c r="G64" s="3" t="s">
        <v>143</v>
      </c>
      <c r="H64" s="3" t="s">
        <v>37</v>
      </c>
      <c r="I64" s="3" t="s">
        <v>135</v>
      </c>
      <c r="J64" s="3" t="s">
        <v>65</v>
      </c>
      <c r="K64" s="3" t="s">
        <v>66</v>
      </c>
      <c r="L64" s="3" t="s">
        <v>63</v>
      </c>
      <c r="M64" s="3" t="s">
        <v>41</v>
      </c>
      <c r="N64" s="4" t="n">
        <f aca="false">IFERROR(MOD(TIMEVALUE(M64)-TIMEVALUE(L64),1)*1440,"")</f>
        <v>480</v>
      </c>
      <c r="O64" s="5" t="n">
        <v>0</v>
      </c>
      <c r="P64" s="5" t="n">
        <v>30</v>
      </c>
      <c r="Q64" s="3" t="s">
        <v>74</v>
      </c>
      <c r="R64" s="3" t="s">
        <v>50</v>
      </c>
      <c r="S64" s="4" t="n">
        <f aca="false">IFERROR(N64-N(O64)-N(P64),"")</f>
        <v>450</v>
      </c>
      <c r="T64" s="5" t="n">
        <v>8958</v>
      </c>
      <c r="U64" s="5" t="n">
        <v>123</v>
      </c>
      <c r="V64" s="3" t="s">
        <v>45</v>
      </c>
      <c r="W64" s="5" t="n">
        <v>1400</v>
      </c>
      <c r="X64" s="5" t="n">
        <v>9184</v>
      </c>
      <c r="Y64" s="4" t="n">
        <f aca="false">IFERROR(T64/X64*100,"")</f>
        <v>97.5391986062718</v>
      </c>
      <c r="Z64" s="4" t="n">
        <f aca="false">IFERROR(S64/N64*100,"")</f>
        <v>93.75</v>
      </c>
      <c r="AA64" s="4" t="n">
        <f aca="false">IFERROR(T64/(W64*S64/60)*100,"")</f>
        <v>85.3142857142857</v>
      </c>
      <c r="AB64" s="4" t="n">
        <f aca="false">IFERROR(T64/(T64+U64)*100,"")</f>
        <v>98.6455236207466</v>
      </c>
      <c r="AC64" s="4" t="n">
        <f aca="false">IFERROR(Z64*AA64*AB64/10000,"")</f>
        <v>78.8988036245222</v>
      </c>
      <c r="AD64" s="3"/>
    </row>
    <row r="65" customFormat="false" ht="15" hidden="false" customHeight="false" outlineLevel="0" collapsed="false">
      <c r="A65" s="6" t="s">
        <v>124</v>
      </c>
      <c r="B65" s="6" t="s">
        <v>31</v>
      </c>
      <c r="C65" s="6" t="s">
        <v>76</v>
      </c>
      <c r="D65" s="6" t="s">
        <v>33</v>
      </c>
      <c r="E65" s="6" t="s">
        <v>34</v>
      </c>
      <c r="F65" s="6" t="s">
        <v>35</v>
      </c>
      <c r="G65" s="6" t="s">
        <v>144</v>
      </c>
      <c r="H65" s="6" t="s">
        <v>37</v>
      </c>
      <c r="I65" s="6" t="s">
        <v>145</v>
      </c>
      <c r="J65" s="6" t="s">
        <v>39</v>
      </c>
      <c r="K65" s="6" t="s">
        <v>40</v>
      </c>
      <c r="L65" s="6" t="s">
        <v>41</v>
      </c>
      <c r="M65" s="6" t="s">
        <v>42</v>
      </c>
      <c r="N65" s="7" t="n">
        <f aca="false">IFERROR(MOD(TIMEVALUE(M65)-TIMEVALUE(L65),1)*1440,"")</f>
        <v>480</v>
      </c>
      <c r="O65" s="8" t="n">
        <v>20</v>
      </c>
      <c r="P65" s="8" t="n">
        <v>0</v>
      </c>
      <c r="Q65" s="6"/>
      <c r="R65" s="6"/>
      <c r="S65" s="7" t="n">
        <f aca="false">IFERROR(N65-N(O65)-N(P65),"")</f>
        <v>460</v>
      </c>
      <c r="T65" s="8" t="n">
        <v>7115</v>
      </c>
      <c r="U65" s="8" t="n">
        <v>481</v>
      </c>
      <c r="V65" s="6" t="s">
        <v>45</v>
      </c>
      <c r="W65" s="8" t="n">
        <v>950</v>
      </c>
      <c r="X65" s="8" t="n">
        <v>6232</v>
      </c>
      <c r="Y65" s="7" t="n">
        <f aca="false">IFERROR(T65/X65*100,"")</f>
        <v>114.168806161746</v>
      </c>
      <c r="Z65" s="7" t="n">
        <f aca="false">IFERROR(S65/N65*100,"")</f>
        <v>95.8333333333333</v>
      </c>
      <c r="AA65" s="7" t="n">
        <f aca="false">IFERROR(T65/(W65*S65/60)*100,"")</f>
        <v>97.6887871853547</v>
      </c>
      <c r="AB65" s="7" t="n">
        <f aca="false">IFERROR(T65/(T65+U65)*100,"")</f>
        <v>93.667719852554</v>
      </c>
      <c r="AC65" s="7" t="n">
        <f aca="false">IFERROR(Z65*AA65*AB65/10000,"")</f>
        <v>87.6902403619634</v>
      </c>
      <c r="AD65" s="6"/>
    </row>
    <row r="66" customFormat="false" ht="15" hidden="false" customHeight="false" outlineLevel="0" collapsed="false">
      <c r="A66" s="3" t="s">
        <v>124</v>
      </c>
      <c r="B66" s="3" t="s">
        <v>31</v>
      </c>
      <c r="C66" s="3" t="s">
        <v>67</v>
      </c>
      <c r="D66" s="3" t="s">
        <v>33</v>
      </c>
      <c r="E66" s="3" t="s">
        <v>46</v>
      </c>
      <c r="F66" s="3" t="s">
        <v>35</v>
      </c>
      <c r="G66" s="3" t="s">
        <v>146</v>
      </c>
      <c r="H66" s="3" t="s">
        <v>37</v>
      </c>
      <c r="I66" s="3" t="s">
        <v>140</v>
      </c>
      <c r="J66" s="3" t="s">
        <v>55</v>
      </c>
      <c r="K66" s="3" t="s">
        <v>56</v>
      </c>
      <c r="L66" s="3" t="s">
        <v>41</v>
      </c>
      <c r="M66" s="3" t="s">
        <v>42</v>
      </c>
      <c r="N66" s="4" t="n">
        <f aca="false">IFERROR(MOD(TIMEVALUE(M66)-TIMEVALUE(L66),1)*1440,"")</f>
        <v>480</v>
      </c>
      <c r="O66" s="5" t="n">
        <v>0</v>
      </c>
      <c r="P66" s="5" t="n">
        <v>50</v>
      </c>
      <c r="Q66" s="3" t="s">
        <v>49</v>
      </c>
      <c r="R66" s="3" t="s">
        <v>50</v>
      </c>
      <c r="S66" s="4" t="n">
        <f aca="false">IFERROR(N66-N(O66)-N(P66),"")</f>
        <v>430</v>
      </c>
      <c r="T66" s="5" t="n">
        <v>7375</v>
      </c>
      <c r="U66" s="5" t="n">
        <v>67</v>
      </c>
      <c r="V66" s="3" t="s">
        <v>45</v>
      </c>
      <c r="W66" s="5" t="n">
        <v>1200</v>
      </c>
      <c r="X66" s="5" t="n">
        <v>7871</v>
      </c>
      <c r="Y66" s="4" t="n">
        <f aca="false">IFERROR(T66/X66*100,"")</f>
        <v>93.6983864820226</v>
      </c>
      <c r="Z66" s="4" t="n">
        <f aca="false">IFERROR(S66/N66*100,"")</f>
        <v>89.5833333333333</v>
      </c>
      <c r="AA66" s="4" t="n">
        <f aca="false">IFERROR(T66/(W66*S66/60)*100,"")</f>
        <v>85.7558139534884</v>
      </c>
      <c r="AB66" s="4" t="n">
        <f aca="false">IFERROR(T66/(T66+U66)*100,"")</f>
        <v>99.0997043805429</v>
      </c>
      <c r="AC66" s="4" t="n">
        <f aca="false">IFERROR(Z66*AA66*AB66/10000,"")</f>
        <v>76.1312833131775</v>
      </c>
      <c r="AD66" s="3"/>
    </row>
    <row r="67" customFormat="false" ht="15" hidden="false" customHeight="false" outlineLevel="0" collapsed="false">
      <c r="A67" s="6" t="s">
        <v>124</v>
      </c>
      <c r="B67" s="6" t="s">
        <v>31</v>
      </c>
      <c r="C67" s="6" t="s">
        <v>70</v>
      </c>
      <c r="D67" s="6" t="s">
        <v>33</v>
      </c>
      <c r="E67" s="6" t="s">
        <v>51</v>
      </c>
      <c r="F67" s="6" t="s">
        <v>52</v>
      </c>
      <c r="G67" s="6" t="s">
        <v>147</v>
      </c>
      <c r="H67" s="6" t="s">
        <v>62</v>
      </c>
      <c r="I67" s="6"/>
      <c r="J67" s="6" t="s">
        <v>65</v>
      </c>
      <c r="K67" s="6" t="s">
        <v>66</v>
      </c>
      <c r="L67" s="6" t="s">
        <v>41</v>
      </c>
      <c r="M67" s="6" t="s">
        <v>42</v>
      </c>
      <c r="N67" s="7" t="n">
        <f aca="false">IFERROR(MOD(TIMEVALUE(M67)-TIMEVALUE(L67),1)*1440,"")</f>
        <v>480</v>
      </c>
      <c r="O67" s="8" t="n">
        <v>30</v>
      </c>
      <c r="P67" s="8" t="n">
        <v>0</v>
      </c>
      <c r="Q67" s="6"/>
      <c r="R67" s="6"/>
      <c r="S67" s="7" t="n">
        <f aca="false">IFERROR(N67-N(O67)-N(P67),"")</f>
        <v>450</v>
      </c>
      <c r="T67" s="8" t="n">
        <v>9935</v>
      </c>
      <c r="U67" s="8" t="n">
        <v>127</v>
      </c>
      <c r="V67" s="6" t="s">
        <v>45</v>
      </c>
      <c r="W67" s="8" t="n">
        <v>1400</v>
      </c>
      <c r="X67" s="8" t="n">
        <v>9184</v>
      </c>
      <c r="Y67" s="7" t="n">
        <f aca="false">IFERROR(T67/X67*100,"")</f>
        <v>108.177264808362</v>
      </c>
      <c r="Z67" s="7" t="n">
        <f aca="false">IFERROR(S67/N67*100,"")</f>
        <v>93.75</v>
      </c>
      <c r="AA67" s="7" t="n">
        <f aca="false">IFERROR(T67/(W67*S67/60)*100,"")</f>
        <v>94.6190476190476</v>
      </c>
      <c r="AB67" s="7" t="n">
        <f aca="false">IFERROR(T67/(T67+U67)*100,"")</f>
        <v>98.7378254820115</v>
      </c>
      <c r="AC67" s="7" t="n">
        <f aca="false">IFERROR(Z67*AA67*AB67/10000,"")</f>
        <v>87.5857407289093</v>
      </c>
      <c r="AD67" s="6"/>
    </row>
    <row r="68" customFormat="false" ht="15" hidden="false" customHeight="false" outlineLevel="0" collapsed="false">
      <c r="A68" s="3" t="s">
        <v>124</v>
      </c>
      <c r="B68" s="3" t="s">
        <v>58</v>
      </c>
      <c r="C68" s="3" t="s">
        <v>76</v>
      </c>
      <c r="D68" s="3" t="s">
        <v>60</v>
      </c>
      <c r="E68" s="3" t="s">
        <v>34</v>
      </c>
      <c r="F68" s="3" t="s">
        <v>35</v>
      </c>
      <c r="G68" s="3" t="s">
        <v>148</v>
      </c>
      <c r="H68" s="3" t="s">
        <v>62</v>
      </c>
      <c r="I68" s="3"/>
      <c r="J68" s="3" t="s">
        <v>39</v>
      </c>
      <c r="K68" s="3" t="s">
        <v>40</v>
      </c>
      <c r="L68" s="3" t="s">
        <v>42</v>
      </c>
      <c r="M68" s="3" t="s">
        <v>63</v>
      </c>
      <c r="N68" s="4" t="n">
        <f aca="false">IFERROR(MOD(TIMEVALUE(M68)-TIMEVALUE(L68),1)*1440,"")</f>
        <v>480</v>
      </c>
      <c r="O68" s="5" t="n">
        <v>0</v>
      </c>
      <c r="P68" s="5" t="n">
        <v>60</v>
      </c>
      <c r="Q68" s="3" t="s">
        <v>95</v>
      </c>
      <c r="R68" s="3" t="s">
        <v>50</v>
      </c>
      <c r="S68" s="4" t="n">
        <f aca="false">IFERROR(N68-N(O68)-N(P68),"")</f>
        <v>420</v>
      </c>
      <c r="T68" s="5" t="n">
        <v>5577</v>
      </c>
      <c r="U68" s="5" t="n">
        <v>266</v>
      </c>
      <c r="V68" s="3" t="s">
        <v>45</v>
      </c>
      <c r="W68" s="5" t="n">
        <v>950</v>
      </c>
      <c r="X68" s="5" t="n">
        <v>6232</v>
      </c>
      <c r="Y68" s="4" t="n">
        <f aca="false">IFERROR(T68/X68*100,"")</f>
        <v>89.48973042362</v>
      </c>
      <c r="Z68" s="4" t="n">
        <f aca="false">IFERROR(S68/N68*100,"")</f>
        <v>87.5</v>
      </c>
      <c r="AA68" s="4" t="n">
        <f aca="false">IFERROR(T68/(W68*S68/60)*100,"")</f>
        <v>83.8646616541354</v>
      </c>
      <c r="AB68" s="4" t="n">
        <f aca="false">IFERROR(T68/(T68+U68)*100,"")</f>
        <v>95.4475440698272</v>
      </c>
      <c r="AC68" s="4" t="n">
        <f aca="false">IFERROR(Z68*AA68*AB68/10000,"")</f>
        <v>70.0409149049245</v>
      </c>
      <c r="AD68" s="3"/>
    </row>
    <row r="69" customFormat="false" ht="15" hidden="false" customHeight="false" outlineLevel="0" collapsed="false">
      <c r="A69" s="6" t="s">
        <v>124</v>
      </c>
      <c r="B69" s="6" t="s">
        <v>58</v>
      </c>
      <c r="C69" s="6" t="s">
        <v>67</v>
      </c>
      <c r="D69" s="6" t="s">
        <v>60</v>
      </c>
      <c r="E69" s="6" t="s">
        <v>46</v>
      </c>
      <c r="F69" s="6" t="s">
        <v>35</v>
      </c>
      <c r="G69" s="6" t="s">
        <v>149</v>
      </c>
      <c r="H69" s="6" t="s">
        <v>37</v>
      </c>
      <c r="I69" s="6" t="s">
        <v>135</v>
      </c>
      <c r="J69" s="6" t="s">
        <v>55</v>
      </c>
      <c r="K69" s="6" t="s">
        <v>56</v>
      </c>
      <c r="L69" s="6" t="s">
        <v>42</v>
      </c>
      <c r="M69" s="6" t="s">
        <v>63</v>
      </c>
      <c r="N69" s="7" t="n">
        <f aca="false">IFERROR(MOD(TIMEVALUE(M69)-TIMEVALUE(L69),1)*1440,"")</f>
        <v>480</v>
      </c>
      <c r="O69" s="8" t="n">
        <v>20</v>
      </c>
      <c r="P69" s="8" t="n">
        <v>20</v>
      </c>
      <c r="Q69" s="6" t="s">
        <v>74</v>
      </c>
      <c r="R69" s="6" t="s">
        <v>50</v>
      </c>
      <c r="S69" s="7" t="n">
        <f aca="false">IFERROR(N69-N(O69)-N(P69),"")</f>
        <v>440</v>
      </c>
      <c r="T69" s="8" t="n">
        <v>8080</v>
      </c>
      <c r="U69" s="8" t="n">
        <v>226</v>
      </c>
      <c r="V69" s="6" t="s">
        <v>45</v>
      </c>
      <c r="W69" s="8" t="n">
        <v>1200</v>
      </c>
      <c r="X69" s="8" t="n">
        <v>7871</v>
      </c>
      <c r="Y69" s="7" t="n">
        <f aca="false">IFERROR(T69/X69*100,"")</f>
        <v>102.655316986406</v>
      </c>
      <c r="Z69" s="7" t="n">
        <f aca="false">IFERROR(S69/N69*100,"")</f>
        <v>91.6666666666667</v>
      </c>
      <c r="AA69" s="7" t="n">
        <f aca="false">IFERROR(T69/(W69*S69/60)*100,"")</f>
        <v>91.8181818181818</v>
      </c>
      <c r="AB69" s="7" t="n">
        <f aca="false">IFERROR(T69/(T69+U69)*100,"")</f>
        <v>97.2790753672044</v>
      </c>
      <c r="AC69" s="7" t="n">
        <f aca="false">IFERROR(Z69*AA69*AB69/10000,"")</f>
        <v>81.8765551007304</v>
      </c>
      <c r="AD69" s="6"/>
    </row>
    <row r="70" customFormat="false" ht="15" hidden="false" customHeight="false" outlineLevel="0" collapsed="false">
      <c r="A70" s="3" t="s">
        <v>124</v>
      </c>
      <c r="B70" s="3" t="s">
        <v>58</v>
      </c>
      <c r="C70" s="3" t="s">
        <v>59</v>
      </c>
      <c r="D70" s="3" t="s">
        <v>60</v>
      </c>
      <c r="E70" s="3" t="s">
        <v>51</v>
      </c>
      <c r="F70" s="3" t="s">
        <v>52</v>
      </c>
      <c r="G70" s="3" t="s">
        <v>150</v>
      </c>
      <c r="H70" s="3" t="s">
        <v>37</v>
      </c>
      <c r="I70" s="3" t="s">
        <v>135</v>
      </c>
      <c r="J70" s="3" t="s">
        <v>55</v>
      </c>
      <c r="K70" s="3" t="s">
        <v>56</v>
      </c>
      <c r="L70" s="3" t="s">
        <v>42</v>
      </c>
      <c r="M70" s="3" t="s">
        <v>63</v>
      </c>
      <c r="N70" s="4" t="n">
        <f aca="false">IFERROR(MOD(TIMEVALUE(M70)-TIMEVALUE(L70),1)*1440,"")</f>
        <v>480</v>
      </c>
      <c r="O70" s="5" t="n">
        <v>0</v>
      </c>
      <c r="P70" s="5" t="n">
        <v>45</v>
      </c>
      <c r="Q70" s="3" t="s">
        <v>95</v>
      </c>
      <c r="R70" s="3" t="s">
        <v>50</v>
      </c>
      <c r="S70" s="4" t="n">
        <f aca="false">IFERROR(N70-N(O70)-N(P70),"")</f>
        <v>435</v>
      </c>
      <c r="T70" s="5" t="n">
        <v>7452</v>
      </c>
      <c r="U70" s="5" t="n">
        <v>154</v>
      </c>
      <c r="V70" s="3" t="s">
        <v>45</v>
      </c>
      <c r="W70" s="5" t="n">
        <v>1200</v>
      </c>
      <c r="X70" s="5" t="n">
        <v>7871</v>
      </c>
      <c r="Y70" s="4" t="n">
        <f aca="false">IFERROR(T70/X70*100,"")</f>
        <v>94.6766611612248</v>
      </c>
      <c r="Z70" s="4" t="n">
        <f aca="false">IFERROR(S70/N70*100,"")</f>
        <v>90.625</v>
      </c>
      <c r="AA70" s="4" t="n">
        <f aca="false">IFERROR(T70/(W70*S70/60)*100,"")</f>
        <v>85.6551724137931</v>
      </c>
      <c r="AB70" s="4" t="n">
        <f aca="false">IFERROR(T70/(T70+U70)*100,"")</f>
        <v>97.9752826715751</v>
      </c>
      <c r="AC70" s="4" t="n">
        <f aca="false">IFERROR(Z70*AA70*AB70/10000,"")</f>
        <v>76.0533131738101</v>
      </c>
      <c r="AD70" s="3"/>
    </row>
    <row r="71" customFormat="false" ht="15" hidden="false" customHeight="false" outlineLevel="0" collapsed="false">
      <c r="A71" s="6" t="s">
        <v>124</v>
      </c>
      <c r="B71" s="6" t="s">
        <v>69</v>
      </c>
      <c r="C71" s="6" t="s">
        <v>99</v>
      </c>
      <c r="D71" s="6" t="s">
        <v>71</v>
      </c>
      <c r="E71" s="6" t="s">
        <v>34</v>
      </c>
      <c r="F71" s="6" t="s">
        <v>35</v>
      </c>
      <c r="G71" s="6" t="s">
        <v>151</v>
      </c>
      <c r="H71" s="6" t="s">
        <v>37</v>
      </c>
      <c r="I71" s="6" t="s">
        <v>145</v>
      </c>
      <c r="J71" s="6" t="s">
        <v>39</v>
      </c>
      <c r="K71" s="6" t="s">
        <v>40</v>
      </c>
      <c r="L71" s="6" t="s">
        <v>63</v>
      </c>
      <c r="M71" s="6" t="s">
        <v>41</v>
      </c>
      <c r="N71" s="7" t="n">
        <f aca="false">IFERROR(MOD(TIMEVALUE(M71)-TIMEVALUE(L71),1)*1440,"")</f>
        <v>480</v>
      </c>
      <c r="O71" s="8" t="n">
        <v>45</v>
      </c>
      <c r="P71" s="8" t="n">
        <v>30</v>
      </c>
      <c r="Q71" s="6" t="s">
        <v>97</v>
      </c>
      <c r="R71" s="6" t="s">
        <v>44</v>
      </c>
      <c r="S71" s="7" t="n">
        <f aca="false">IFERROR(N71-N(O71)-N(P71),"")</f>
        <v>405</v>
      </c>
      <c r="T71" s="8" t="n">
        <v>5288</v>
      </c>
      <c r="U71" s="8" t="n">
        <v>95</v>
      </c>
      <c r="V71" s="6" t="s">
        <v>45</v>
      </c>
      <c r="W71" s="8" t="n">
        <v>950</v>
      </c>
      <c r="X71" s="8" t="n">
        <v>6232</v>
      </c>
      <c r="Y71" s="7" t="n">
        <f aca="false">IFERROR(T71/X71*100,"")</f>
        <v>84.8523748395379</v>
      </c>
      <c r="Z71" s="7" t="n">
        <f aca="false">IFERROR(S71/N71*100,"")</f>
        <v>84.375</v>
      </c>
      <c r="AA71" s="7" t="n">
        <f aca="false">IFERROR(T71/(W71*S71/60)*100,"")</f>
        <v>82.4639376218323</v>
      </c>
      <c r="AB71" s="7" t="n">
        <f aca="false">IFERROR(T71/(T71+U71)*100,"")</f>
        <v>98.2351848411666</v>
      </c>
      <c r="AC71" s="7" t="n">
        <f aca="false">IFERROR(Z71*AA71*AB71/10000,"")</f>
        <v>68.3510075579065</v>
      </c>
      <c r="AD71" s="6"/>
    </row>
    <row r="72" customFormat="false" ht="15" hidden="false" customHeight="false" outlineLevel="0" collapsed="false">
      <c r="A72" s="3" t="s">
        <v>124</v>
      </c>
      <c r="B72" s="3" t="s">
        <v>69</v>
      </c>
      <c r="C72" s="3" t="s">
        <v>99</v>
      </c>
      <c r="D72" s="3" t="s">
        <v>71</v>
      </c>
      <c r="E72" s="3" t="s">
        <v>46</v>
      </c>
      <c r="F72" s="3" t="s">
        <v>35</v>
      </c>
      <c r="G72" s="3" t="s">
        <v>152</v>
      </c>
      <c r="H72" s="3" t="s">
        <v>62</v>
      </c>
      <c r="I72" s="3"/>
      <c r="J72" s="3" t="s">
        <v>55</v>
      </c>
      <c r="K72" s="3" t="s">
        <v>56</v>
      </c>
      <c r="L72" s="3" t="s">
        <v>63</v>
      </c>
      <c r="M72" s="3" t="s">
        <v>41</v>
      </c>
      <c r="N72" s="4" t="n">
        <f aca="false">IFERROR(MOD(TIMEVALUE(M72)-TIMEVALUE(L72),1)*1440,"")</f>
        <v>480</v>
      </c>
      <c r="O72" s="5" t="n">
        <v>20</v>
      </c>
      <c r="P72" s="5" t="n">
        <v>100</v>
      </c>
      <c r="Q72" s="3" t="s">
        <v>79</v>
      </c>
      <c r="R72" s="3" t="s">
        <v>50</v>
      </c>
      <c r="S72" s="4" t="n">
        <f aca="false">IFERROR(N72-N(O72)-N(P72),"")</f>
        <v>360</v>
      </c>
      <c r="T72" s="5" t="n">
        <v>5899</v>
      </c>
      <c r="U72" s="5" t="n">
        <v>128</v>
      </c>
      <c r="V72" s="3" t="s">
        <v>45</v>
      </c>
      <c r="W72" s="5" t="n">
        <v>1200</v>
      </c>
      <c r="X72" s="5" t="n">
        <v>7871</v>
      </c>
      <c r="Y72" s="4" t="n">
        <f aca="false">IFERROR(T72/X72*100,"")</f>
        <v>74.9460043196544</v>
      </c>
      <c r="Z72" s="4" t="n">
        <f aca="false">IFERROR(S72/N72*100,"")</f>
        <v>75</v>
      </c>
      <c r="AA72" s="4" t="n">
        <f aca="false">IFERROR(T72/(W72*S72/60)*100,"")</f>
        <v>81.9305555555555</v>
      </c>
      <c r="AB72" s="4" t="n">
        <f aca="false">IFERROR(T72/(T72+U72)*100,"")</f>
        <v>97.8762236601958</v>
      </c>
      <c r="AC72" s="4" t="n">
        <f aca="false">IFERROR(Z72*AA72*AB72/10000,"")</f>
        <v>60.1429003511974</v>
      </c>
      <c r="AD72" s="3"/>
    </row>
    <row r="73" customFormat="false" ht="15" hidden="false" customHeight="false" outlineLevel="0" collapsed="false">
      <c r="A73" s="6" t="s">
        <v>124</v>
      </c>
      <c r="B73" s="6" t="s">
        <v>69</v>
      </c>
      <c r="C73" s="6" t="s">
        <v>32</v>
      </c>
      <c r="D73" s="6" t="s">
        <v>71</v>
      </c>
      <c r="E73" s="6" t="s">
        <v>51</v>
      </c>
      <c r="F73" s="6" t="s">
        <v>52</v>
      </c>
      <c r="G73" s="6" t="s">
        <v>153</v>
      </c>
      <c r="H73" s="6" t="s">
        <v>37</v>
      </c>
      <c r="I73" s="6" t="s">
        <v>135</v>
      </c>
      <c r="J73" s="6" t="s">
        <v>65</v>
      </c>
      <c r="K73" s="6" t="s">
        <v>66</v>
      </c>
      <c r="L73" s="6" t="s">
        <v>63</v>
      </c>
      <c r="M73" s="6" t="s">
        <v>41</v>
      </c>
      <c r="N73" s="7" t="n">
        <f aca="false">IFERROR(MOD(TIMEVALUE(M73)-TIMEVALUE(L73),1)*1440,"")</f>
        <v>480</v>
      </c>
      <c r="O73" s="8" t="n">
        <v>15</v>
      </c>
      <c r="P73" s="8" t="n">
        <v>0</v>
      </c>
      <c r="Q73" s="6"/>
      <c r="R73" s="6"/>
      <c r="S73" s="7" t="n">
        <f aca="false">IFERROR(N73-N(O73)-N(P73),"")</f>
        <v>465</v>
      </c>
      <c r="T73" s="8" t="n">
        <v>10596</v>
      </c>
      <c r="U73" s="8" t="n">
        <v>128</v>
      </c>
      <c r="V73" s="6" t="s">
        <v>45</v>
      </c>
      <c r="W73" s="8" t="n">
        <v>1400</v>
      </c>
      <c r="X73" s="8" t="n">
        <v>9184</v>
      </c>
      <c r="Y73" s="7" t="n">
        <f aca="false">IFERROR(T73/X73*100,"")</f>
        <v>115.37456445993</v>
      </c>
      <c r="Z73" s="7" t="n">
        <f aca="false">IFERROR(S73/N73*100,"")</f>
        <v>96.875</v>
      </c>
      <c r="AA73" s="7" t="n">
        <f aca="false">IFERROR(T73/(W73*S73/60)*100,"")</f>
        <v>97.6589861751152</v>
      </c>
      <c r="AB73" s="7" t="n">
        <f aca="false">IFERROR(T73/(T73+U73)*100,"")</f>
        <v>98.8064155165983</v>
      </c>
      <c r="AC73" s="7" t="n">
        <f aca="false">IFERROR(Z73*AA73*AB73/10000,"")</f>
        <v>93.4779266798103</v>
      </c>
      <c r="AD73" s="6"/>
    </row>
    <row r="74" customFormat="false" ht="15" hidden="false" customHeight="false" outlineLevel="0" collapsed="false">
      <c r="A74" s="3" t="s">
        <v>135</v>
      </c>
      <c r="B74" s="3" t="s">
        <v>31</v>
      </c>
      <c r="C74" s="3" t="s">
        <v>67</v>
      </c>
      <c r="D74" s="3" t="s">
        <v>33</v>
      </c>
      <c r="E74" s="3" t="s">
        <v>34</v>
      </c>
      <c r="F74" s="3" t="s">
        <v>35</v>
      </c>
      <c r="G74" s="3" t="s">
        <v>154</v>
      </c>
      <c r="H74" s="3" t="s">
        <v>62</v>
      </c>
      <c r="I74" s="3"/>
      <c r="J74" s="3" t="s">
        <v>39</v>
      </c>
      <c r="K74" s="3" t="s">
        <v>40</v>
      </c>
      <c r="L74" s="3" t="s">
        <v>41</v>
      </c>
      <c r="M74" s="3" t="s">
        <v>42</v>
      </c>
      <c r="N74" s="4" t="n">
        <f aca="false">IFERROR(MOD(TIMEVALUE(M74)-TIMEVALUE(L74),1)*1440,"")</f>
        <v>480</v>
      </c>
      <c r="O74" s="5" t="n">
        <v>30</v>
      </c>
      <c r="P74" s="5" t="n">
        <v>80</v>
      </c>
      <c r="Q74" s="3" t="s">
        <v>95</v>
      </c>
      <c r="R74" s="3" t="s">
        <v>50</v>
      </c>
      <c r="S74" s="4" t="n">
        <f aca="false">IFERROR(N74-N(O74)-N(P74),"")</f>
        <v>370</v>
      </c>
      <c r="T74" s="5" t="n">
        <v>5560</v>
      </c>
      <c r="U74" s="5" t="n">
        <v>123</v>
      </c>
      <c r="V74" s="3" t="s">
        <v>45</v>
      </c>
      <c r="W74" s="5" t="n">
        <v>950</v>
      </c>
      <c r="X74" s="5" t="n">
        <v>6232</v>
      </c>
      <c r="Y74" s="4" t="n">
        <f aca="false">IFERROR(T74/X74*100,"")</f>
        <v>89.216944801027</v>
      </c>
      <c r="Z74" s="4" t="n">
        <f aca="false">IFERROR(S74/N74*100,"")</f>
        <v>77.0833333333333</v>
      </c>
      <c r="AA74" s="4" t="n">
        <f aca="false">IFERROR(T74/(W74*S74/60)*100,"")</f>
        <v>94.9075391180654</v>
      </c>
      <c r="AB74" s="4" t="n">
        <f aca="false">IFERROR(T74/(T74+U74)*100,"")</f>
        <v>97.8356501847616</v>
      </c>
      <c r="AC74" s="4" t="n">
        <f aca="false">IFERROR(Z74*AA74*AB74/10000,"")</f>
        <v>71.5745019772729</v>
      </c>
      <c r="AD74" s="3"/>
    </row>
    <row r="75" customFormat="false" ht="15" hidden="false" customHeight="false" outlineLevel="0" collapsed="false">
      <c r="A75" s="6" t="s">
        <v>135</v>
      </c>
      <c r="B75" s="6" t="s">
        <v>31</v>
      </c>
      <c r="C75" s="6" t="s">
        <v>59</v>
      </c>
      <c r="D75" s="6"/>
      <c r="E75" s="6" t="s">
        <v>46</v>
      </c>
      <c r="F75" s="6" t="s">
        <v>35</v>
      </c>
      <c r="G75" s="6" t="s">
        <v>155</v>
      </c>
      <c r="H75" s="6" t="s">
        <v>37</v>
      </c>
      <c r="I75" s="6" t="s">
        <v>145</v>
      </c>
      <c r="J75" s="6" t="s">
        <v>55</v>
      </c>
      <c r="K75" s="6"/>
      <c r="L75" s="6" t="s">
        <v>41</v>
      </c>
      <c r="M75" s="6" t="s">
        <v>42</v>
      </c>
      <c r="N75" s="7" t="n">
        <f aca="false">IFERROR(MOD(TIMEVALUE(M75)-TIMEVALUE(L75),1)*1440,"")</f>
        <v>480</v>
      </c>
      <c r="O75" s="8" t="n">
        <v>20</v>
      </c>
      <c r="P75" s="8" t="n">
        <v>140</v>
      </c>
      <c r="Q75" s="6" t="s">
        <v>79</v>
      </c>
      <c r="R75" s="6" t="s">
        <v>50</v>
      </c>
      <c r="S75" s="7" t="n">
        <f aca="false">IFERROR(N75-N(O75)-N(P75),"")</f>
        <v>320</v>
      </c>
      <c r="T75" s="8" t="n">
        <v>5207</v>
      </c>
      <c r="U75" s="8" t="n">
        <v>61</v>
      </c>
      <c r="V75" s="6" t="s">
        <v>45</v>
      </c>
      <c r="W75" s="8" t="n">
        <v>1200</v>
      </c>
      <c r="X75" s="8" t="n">
        <v>7871</v>
      </c>
      <c r="Y75" s="7" t="n">
        <f aca="false">IFERROR(T75/X75*100,"")</f>
        <v>66.1542370727989</v>
      </c>
      <c r="Z75" s="7" t="n">
        <f aca="false">IFERROR(S75/N75*100,"")</f>
        <v>66.6666666666667</v>
      </c>
      <c r="AA75" s="7" t="n">
        <f aca="false">IFERROR(T75/(W75*S75/60)*100,"")</f>
        <v>81.359375</v>
      </c>
      <c r="AB75" s="7" t="n">
        <f aca="false">IFERROR(T75/(T75+U75)*100,"")</f>
        <v>98.8420652999241</v>
      </c>
      <c r="AC75" s="7" t="n">
        <f aca="false">IFERROR(Z75*AA75*AB75/10000,"")</f>
        <v>53.6115243767401</v>
      </c>
      <c r="AD75" s="6"/>
    </row>
    <row r="76" customFormat="false" ht="15" hidden="false" customHeight="false" outlineLevel="0" collapsed="false">
      <c r="A76" s="3" t="s">
        <v>135</v>
      </c>
      <c r="B76" s="3" t="s">
        <v>31</v>
      </c>
      <c r="C76" s="3" t="s">
        <v>76</v>
      </c>
      <c r="D76" s="3" t="s">
        <v>33</v>
      </c>
      <c r="E76" s="3" t="s">
        <v>51</v>
      </c>
      <c r="F76" s="3" t="s">
        <v>52</v>
      </c>
      <c r="G76" s="3" t="s">
        <v>156</v>
      </c>
      <c r="H76" s="3" t="s">
        <v>37</v>
      </c>
      <c r="I76" s="3" t="s">
        <v>145</v>
      </c>
      <c r="J76" s="3" t="s">
        <v>55</v>
      </c>
      <c r="K76" s="3" t="s">
        <v>56</v>
      </c>
      <c r="L76" s="3" t="s">
        <v>41</v>
      </c>
      <c r="M76" s="3" t="s">
        <v>42</v>
      </c>
      <c r="N76" s="4" t="n">
        <f aca="false">IFERROR(MOD(TIMEVALUE(M76)-TIMEVALUE(L76),1)*1440,"")</f>
        <v>480</v>
      </c>
      <c r="O76" s="5" t="n">
        <v>15</v>
      </c>
      <c r="P76" s="5" t="n">
        <v>65</v>
      </c>
      <c r="Q76" s="3" t="s">
        <v>97</v>
      </c>
      <c r="R76" s="3" t="s">
        <v>44</v>
      </c>
      <c r="S76" s="4" t="n">
        <f aca="false">IFERROR(N76-N(O76)-N(P76),"")</f>
        <v>400</v>
      </c>
      <c r="T76" s="5" t="n">
        <v>7673</v>
      </c>
      <c r="U76" s="5" t="n">
        <v>430</v>
      </c>
      <c r="V76" s="3" t="s">
        <v>45</v>
      </c>
      <c r="W76" s="5" t="n">
        <v>1200</v>
      </c>
      <c r="X76" s="5" t="n">
        <v>7871</v>
      </c>
      <c r="Y76" s="4" t="n">
        <f aca="false">IFERROR(T76/X76*100,"")</f>
        <v>97.4844365391945</v>
      </c>
      <c r="Z76" s="4" t="n">
        <f aca="false">IFERROR(S76/N76*100,"")</f>
        <v>83.3333333333333</v>
      </c>
      <c r="AA76" s="4" t="n">
        <f aca="false">IFERROR(T76/(W76*S76/60)*100,"")</f>
        <v>95.9125</v>
      </c>
      <c r="AB76" s="4" t="n">
        <f aca="false">IFERROR(T76/(T76+U76)*100,"")</f>
        <v>94.6933234604468</v>
      </c>
      <c r="AC76" s="4" t="n">
        <f aca="false">IFERROR(Z76*AA76*AB76/10000,"")</f>
        <v>75.6856115533342</v>
      </c>
      <c r="AD76" s="3"/>
    </row>
    <row r="77" customFormat="false" ht="15" hidden="false" customHeight="false" outlineLevel="0" collapsed="false">
      <c r="A77" s="6" t="s">
        <v>135</v>
      </c>
      <c r="B77" s="6" t="s">
        <v>58</v>
      </c>
      <c r="C77" s="6" t="s">
        <v>99</v>
      </c>
      <c r="D77" s="6" t="s">
        <v>60</v>
      </c>
      <c r="E77" s="6" t="s">
        <v>34</v>
      </c>
      <c r="F77" s="6" t="s">
        <v>35</v>
      </c>
      <c r="G77" s="6" t="s">
        <v>157</v>
      </c>
      <c r="H77" s="6" t="s">
        <v>37</v>
      </c>
      <c r="I77" s="6" t="s">
        <v>140</v>
      </c>
      <c r="J77" s="6" t="s">
        <v>55</v>
      </c>
      <c r="K77" s="6" t="s">
        <v>56</v>
      </c>
      <c r="L77" s="6" t="s">
        <v>42</v>
      </c>
      <c r="M77" s="6" t="s">
        <v>63</v>
      </c>
      <c r="N77" s="7" t="n">
        <f aca="false">IFERROR(MOD(TIMEVALUE(M77)-TIMEVALUE(L77),1)*1440,"")</f>
        <v>480</v>
      </c>
      <c r="O77" s="8" t="n">
        <v>45</v>
      </c>
      <c r="P77" s="8" t="n">
        <v>0</v>
      </c>
      <c r="Q77" s="6"/>
      <c r="R77" s="6"/>
      <c r="S77" s="7" t="n">
        <f aca="false">IFERROR(N77-N(O77)-N(P77),"")</f>
        <v>435</v>
      </c>
      <c r="T77" s="8" t="n">
        <v>8085</v>
      </c>
      <c r="U77" s="8" t="n">
        <v>74</v>
      </c>
      <c r="V77" s="6" t="s">
        <v>45</v>
      </c>
      <c r="W77" s="8" t="n">
        <v>1200</v>
      </c>
      <c r="X77" s="8" t="n">
        <v>7871</v>
      </c>
      <c r="Y77" s="7" t="n">
        <f aca="false">IFERROR(T77/X77*100,"")</f>
        <v>102.718841316224</v>
      </c>
      <c r="Z77" s="7" t="n">
        <f aca="false">IFERROR(S77/N77*100,"")</f>
        <v>90.625</v>
      </c>
      <c r="AA77" s="7" t="n">
        <f aca="false">IFERROR(T77/(W77*S77/60)*100,"")</f>
        <v>92.9310344827586</v>
      </c>
      <c r="AB77" s="7" t="n">
        <f aca="false">IFERROR(T77/(T77+U77)*100,"")</f>
        <v>99.0930261061405</v>
      </c>
      <c r="AC77" s="7" t="n">
        <f aca="false">IFERROR(Z77*AA77*AB77/10000,"")</f>
        <v>83.4549079237652</v>
      </c>
      <c r="AD77" s="6"/>
    </row>
    <row r="78" customFormat="false" ht="15" hidden="false" customHeight="false" outlineLevel="0" collapsed="false">
      <c r="A78" s="3" t="s">
        <v>135</v>
      </c>
      <c r="B78" s="3" t="s">
        <v>58</v>
      </c>
      <c r="C78" s="3" t="s">
        <v>76</v>
      </c>
      <c r="D78" s="3" t="s">
        <v>60</v>
      </c>
      <c r="E78" s="3" t="s">
        <v>46</v>
      </c>
      <c r="F78" s="3" t="s">
        <v>35</v>
      </c>
      <c r="G78" s="3" t="s">
        <v>158</v>
      </c>
      <c r="H78" s="3" t="s">
        <v>37</v>
      </c>
      <c r="I78" s="3" t="s">
        <v>140</v>
      </c>
      <c r="J78" s="3" t="s">
        <v>55</v>
      </c>
      <c r="K78" s="3" t="s">
        <v>56</v>
      </c>
      <c r="L78" s="3" t="s">
        <v>42</v>
      </c>
      <c r="M78" s="3" t="s">
        <v>63</v>
      </c>
      <c r="N78" s="4" t="n">
        <f aca="false">IFERROR(MOD(TIMEVALUE(M78)-TIMEVALUE(L78),1)*1440,"")</f>
        <v>480</v>
      </c>
      <c r="O78" s="5" t="n">
        <v>15</v>
      </c>
      <c r="P78" s="5" t="n">
        <v>80</v>
      </c>
      <c r="Q78" s="3" t="s">
        <v>87</v>
      </c>
      <c r="R78" s="3" t="s">
        <v>50</v>
      </c>
      <c r="S78" s="4" t="n">
        <f aca="false">IFERROR(N78-N(O78)-N(P78),"")</f>
        <v>385</v>
      </c>
      <c r="T78" s="5" t="n">
        <v>7589</v>
      </c>
      <c r="U78" s="5" t="n">
        <v>304</v>
      </c>
      <c r="V78" s="3" t="s">
        <v>45</v>
      </c>
      <c r="W78" s="5" t="n">
        <v>1200</v>
      </c>
      <c r="X78" s="5" t="n">
        <v>7871</v>
      </c>
      <c r="Y78" s="4" t="n">
        <f aca="false">IFERROR(T78/X78*100,"")</f>
        <v>96.4172277982467</v>
      </c>
      <c r="Z78" s="4" t="n">
        <f aca="false">IFERROR(S78/N78*100,"")</f>
        <v>80.2083333333333</v>
      </c>
      <c r="AA78" s="4" t="n">
        <f aca="false">IFERROR(T78/(W78*S78/60)*100,"")</f>
        <v>98.5584415584416</v>
      </c>
      <c r="AB78" s="4" t="n">
        <f aca="false">IFERROR(T78/(T78+U78)*100,"")</f>
        <v>96.1484860002534</v>
      </c>
      <c r="AC78" s="4" t="n">
        <f aca="false">IFERROR(Z78*AA78*AB78/10000,"")</f>
        <v>76.0073812766587</v>
      </c>
      <c r="AD78" s="3"/>
    </row>
    <row r="79" customFormat="false" ht="15" hidden="false" customHeight="false" outlineLevel="0" collapsed="false">
      <c r="A79" s="6" t="s">
        <v>135</v>
      </c>
      <c r="B79" s="6" t="s">
        <v>58</v>
      </c>
      <c r="C79" s="6" t="s">
        <v>67</v>
      </c>
      <c r="D79" s="6" t="s">
        <v>60</v>
      </c>
      <c r="E79" s="6" t="s">
        <v>51</v>
      </c>
      <c r="F79" s="6" t="s">
        <v>52</v>
      </c>
      <c r="G79" s="6" t="s">
        <v>159</v>
      </c>
      <c r="H79" s="6" t="s">
        <v>62</v>
      </c>
      <c r="I79" s="6"/>
      <c r="J79" s="6" t="s">
        <v>65</v>
      </c>
      <c r="K79" s="6" t="s">
        <v>66</v>
      </c>
      <c r="L79" s="6" t="s">
        <v>42</v>
      </c>
      <c r="M79" s="6" t="s">
        <v>63</v>
      </c>
      <c r="N79" s="7" t="n">
        <f aca="false">IFERROR(MOD(TIMEVALUE(M79)-TIMEVALUE(L79),1)*1440,"")</f>
        <v>480</v>
      </c>
      <c r="O79" s="8" t="n">
        <v>0</v>
      </c>
      <c r="P79" s="8" t="n">
        <v>35</v>
      </c>
      <c r="Q79" s="6" t="s">
        <v>97</v>
      </c>
      <c r="R79" s="6" t="s">
        <v>44</v>
      </c>
      <c r="S79" s="7" t="n">
        <f aca="false">IFERROR(N79-N(O79)-N(P79),"")</f>
        <v>445</v>
      </c>
      <c r="T79" s="8" t="n">
        <v>9019</v>
      </c>
      <c r="U79" s="8" t="n">
        <v>160</v>
      </c>
      <c r="V79" s="6" t="s">
        <v>45</v>
      </c>
      <c r="W79" s="8" t="n">
        <v>1400</v>
      </c>
      <c r="X79" s="8" t="n">
        <v>9184</v>
      </c>
      <c r="Y79" s="7" t="n">
        <f aca="false">IFERROR(T79/X79*100,"")</f>
        <v>98.2033972125436</v>
      </c>
      <c r="Z79" s="7" t="n">
        <f aca="false">IFERROR(S79/N79*100,"")</f>
        <v>92.7083333333333</v>
      </c>
      <c r="AA79" s="7" t="n">
        <f aca="false">IFERROR(T79/(W79*S79/60)*100,"")</f>
        <v>86.860353130016</v>
      </c>
      <c r="AB79" s="7" t="n">
        <f aca="false">IFERROR(T79/(T79+U79)*100,"")</f>
        <v>98.2568907288376</v>
      </c>
      <c r="AC79" s="7" t="n">
        <f aca="false">IFERROR(Z79*AA79*AB79/10000,"")</f>
        <v>79.1231158467309</v>
      </c>
      <c r="AD79" s="6"/>
    </row>
    <row r="80" customFormat="false" ht="15" hidden="false" customHeight="false" outlineLevel="0" collapsed="false">
      <c r="A80" s="3" t="s">
        <v>135</v>
      </c>
      <c r="B80" s="3" t="s">
        <v>69</v>
      </c>
      <c r="C80" s="3" t="s">
        <v>76</v>
      </c>
      <c r="D80" s="3" t="s">
        <v>71</v>
      </c>
      <c r="E80" s="3" t="s">
        <v>34</v>
      </c>
      <c r="F80" s="3" t="s">
        <v>35</v>
      </c>
      <c r="G80" s="3" t="s">
        <v>160</v>
      </c>
      <c r="H80" s="3" t="s">
        <v>62</v>
      </c>
      <c r="I80" s="3"/>
      <c r="J80" s="3" t="s">
        <v>65</v>
      </c>
      <c r="K80" s="3" t="s">
        <v>66</v>
      </c>
      <c r="L80" s="3" t="s">
        <v>63</v>
      </c>
      <c r="M80" s="3" t="s">
        <v>41</v>
      </c>
      <c r="N80" s="4" t="n">
        <f aca="false">IFERROR(MOD(TIMEVALUE(M80)-TIMEVALUE(L80),1)*1440,"")</f>
        <v>480</v>
      </c>
      <c r="O80" s="5" t="n">
        <v>15</v>
      </c>
      <c r="P80" s="5" t="n">
        <v>0</v>
      </c>
      <c r="Q80" s="3"/>
      <c r="R80" s="3"/>
      <c r="S80" s="4" t="n">
        <f aca="false">IFERROR(N80-N(O80)-N(P80),"")</f>
        <v>465</v>
      </c>
      <c r="T80" s="5" t="n">
        <v>10141</v>
      </c>
      <c r="U80" s="5" t="n">
        <v>563</v>
      </c>
      <c r="V80" s="3" t="s">
        <v>45</v>
      </c>
      <c r="W80" s="5" t="n">
        <v>1400</v>
      </c>
      <c r="X80" s="5" t="n">
        <v>9184</v>
      </c>
      <c r="Y80" s="4" t="n">
        <f aca="false">IFERROR(T80/X80*100,"")</f>
        <v>110.420296167247</v>
      </c>
      <c r="Z80" s="4" t="n">
        <f aca="false">IFERROR(S80/N80*100,"")</f>
        <v>96.875</v>
      </c>
      <c r="AA80" s="4" t="n">
        <f aca="false">IFERROR(T80/(W80*S80/60)*100,"")</f>
        <v>93.4654377880184</v>
      </c>
      <c r="AB80" s="4" t="n">
        <f aca="false">IFERROR(T80/(T80+U80)*100,"")</f>
        <v>94.7402840059791</v>
      </c>
      <c r="AC80" s="4" t="n">
        <f aca="false">IFERROR(Z80*AA80*AB80/10000,"")</f>
        <v>85.7822517950566</v>
      </c>
      <c r="AD80" s="3"/>
    </row>
    <row r="81" customFormat="false" ht="15" hidden="false" customHeight="false" outlineLevel="0" collapsed="false">
      <c r="A81" s="6" t="s">
        <v>135</v>
      </c>
      <c r="B81" s="6" t="s">
        <v>69</v>
      </c>
      <c r="C81" s="6" t="s">
        <v>99</v>
      </c>
      <c r="D81" s="6" t="s">
        <v>71</v>
      </c>
      <c r="E81" s="6" t="s">
        <v>46</v>
      </c>
      <c r="F81" s="6" t="s">
        <v>35</v>
      </c>
      <c r="G81" s="6" t="s">
        <v>161</v>
      </c>
      <c r="H81" s="6" t="s">
        <v>37</v>
      </c>
      <c r="I81" s="6" t="s">
        <v>162</v>
      </c>
      <c r="J81" s="6" t="s">
        <v>65</v>
      </c>
      <c r="K81" s="6" t="s">
        <v>66</v>
      </c>
      <c r="L81" s="6" t="s">
        <v>63</v>
      </c>
      <c r="M81" s="6" t="s">
        <v>41</v>
      </c>
      <c r="N81" s="7" t="n">
        <f aca="false">IFERROR(MOD(TIMEVALUE(M81)-TIMEVALUE(L81),1)*1440,"")</f>
        <v>480</v>
      </c>
      <c r="O81" s="8" t="n">
        <v>0</v>
      </c>
      <c r="P81" s="8" t="n">
        <v>30</v>
      </c>
      <c r="Q81" s="6" t="s">
        <v>95</v>
      </c>
      <c r="R81" s="6" t="s">
        <v>50</v>
      </c>
      <c r="S81" s="7" t="n">
        <f aca="false">IFERROR(N81-N(O81)-N(P81),"")</f>
        <v>450</v>
      </c>
      <c r="T81" s="8" t="n">
        <v>8943</v>
      </c>
      <c r="U81" s="8" t="n">
        <v>203</v>
      </c>
      <c r="V81" s="6" t="s">
        <v>45</v>
      </c>
      <c r="W81" s="8" t="n">
        <v>1400</v>
      </c>
      <c r="X81" s="8" t="n">
        <v>9184</v>
      </c>
      <c r="Y81" s="7" t="n">
        <f aca="false">IFERROR(T81/X81*100,"")</f>
        <v>97.3758710801394</v>
      </c>
      <c r="Z81" s="7" t="n">
        <f aca="false">IFERROR(S81/N81*100,"")</f>
        <v>93.75</v>
      </c>
      <c r="AA81" s="7" t="n">
        <f aca="false">IFERROR(T81/(W81*S81/60)*100,"")</f>
        <v>85.1714285714286</v>
      </c>
      <c r="AB81" s="7" t="n">
        <f aca="false">IFERROR(T81/(T81+U81)*100,"")</f>
        <v>97.7804504701509</v>
      </c>
      <c r="AC81" s="7" t="n">
        <f aca="false">IFERROR(Z81*AA81*AB81/10000,"")</f>
        <v>78.0759436209428</v>
      </c>
      <c r="AD81" s="6"/>
    </row>
    <row r="82" customFormat="false" ht="15" hidden="false" customHeight="false" outlineLevel="0" collapsed="false">
      <c r="A82" s="3" t="s">
        <v>135</v>
      </c>
      <c r="B82" s="3" t="s">
        <v>69</v>
      </c>
      <c r="C82" s="3" t="s">
        <v>59</v>
      </c>
      <c r="D82" s="3" t="s">
        <v>71</v>
      </c>
      <c r="E82" s="3" t="s">
        <v>51</v>
      </c>
      <c r="F82" s="3" t="s">
        <v>52</v>
      </c>
      <c r="G82" s="3" t="s">
        <v>163</v>
      </c>
      <c r="H82" s="3" t="s">
        <v>37</v>
      </c>
      <c r="I82" s="3" t="s">
        <v>140</v>
      </c>
      <c r="J82" s="3" t="s">
        <v>39</v>
      </c>
      <c r="K82" s="3" t="s">
        <v>40</v>
      </c>
      <c r="L82" s="3" t="s">
        <v>63</v>
      </c>
      <c r="M82" s="3" t="s">
        <v>41</v>
      </c>
      <c r="N82" s="4" t="n">
        <f aca="false">IFERROR(MOD(TIMEVALUE(M82)-TIMEVALUE(L82),1)*1440,"")</f>
        <v>480</v>
      </c>
      <c r="O82" s="5" t="n">
        <v>45</v>
      </c>
      <c r="P82" s="5" t="n">
        <v>0</v>
      </c>
      <c r="Q82" s="3"/>
      <c r="R82" s="3"/>
      <c r="S82" s="4" t="n">
        <f aca="false">IFERROR(N82-N(O82)-N(P82),"")</f>
        <v>435</v>
      </c>
      <c r="T82" s="5" t="n">
        <v>5734</v>
      </c>
      <c r="U82" s="5" t="n">
        <v>156</v>
      </c>
      <c r="V82" s="3" t="s">
        <v>45</v>
      </c>
      <c r="W82" s="5" t="n">
        <v>950</v>
      </c>
      <c r="X82" s="5" t="n">
        <v>6232</v>
      </c>
      <c r="Y82" s="4" t="n">
        <f aca="false">IFERROR(T82/X82*100,"")</f>
        <v>92.0089858793325</v>
      </c>
      <c r="Z82" s="4" t="n">
        <f aca="false">IFERROR(S82/N82*100,"")</f>
        <v>90.625</v>
      </c>
      <c r="AA82" s="4" t="n">
        <f aca="false">IFERROR(T82/(W82*S82/60)*100,"")</f>
        <v>83.2522686025408</v>
      </c>
      <c r="AB82" s="4" t="n">
        <f aca="false">IFERROR(T82/(T82+U82)*100,"")</f>
        <v>97.3514431239389</v>
      </c>
      <c r="AC82" s="4" t="n">
        <f aca="false">IFERROR(Z82*AA82*AB82/10000,"")</f>
        <v>73.4491019569297</v>
      </c>
      <c r="AD82" s="3"/>
    </row>
    <row r="83" customFormat="false" ht="15" hidden="false" customHeight="false" outlineLevel="0" collapsed="false">
      <c r="A83" s="6" t="s">
        <v>140</v>
      </c>
      <c r="B83" s="6" t="s">
        <v>31</v>
      </c>
      <c r="C83" s="6" t="s">
        <v>70</v>
      </c>
      <c r="D83" s="6" t="s">
        <v>33</v>
      </c>
      <c r="E83" s="6" t="s">
        <v>34</v>
      </c>
      <c r="F83" s="6" t="s">
        <v>35</v>
      </c>
      <c r="G83" s="6" t="s">
        <v>164</v>
      </c>
      <c r="H83" s="6" t="s">
        <v>37</v>
      </c>
      <c r="I83" s="6" t="s">
        <v>145</v>
      </c>
      <c r="J83" s="6" t="s">
        <v>65</v>
      </c>
      <c r="K83" s="6" t="s">
        <v>66</v>
      </c>
      <c r="L83" s="6" t="s">
        <v>41</v>
      </c>
      <c r="M83" s="6" t="s">
        <v>42</v>
      </c>
      <c r="N83" s="7" t="n">
        <f aca="false">IFERROR(MOD(TIMEVALUE(M83)-TIMEVALUE(L83),1)*1440,"")</f>
        <v>480</v>
      </c>
      <c r="O83" s="8" t="n">
        <v>20</v>
      </c>
      <c r="P83" s="8" t="n">
        <v>15</v>
      </c>
      <c r="Q83" s="6" t="s">
        <v>95</v>
      </c>
      <c r="R83" s="6" t="s">
        <v>50</v>
      </c>
      <c r="S83" s="7" t="n">
        <f aca="false">IFERROR(N83-N(O83)-N(P83),"")</f>
        <v>445</v>
      </c>
      <c r="T83" s="8" t="n">
        <v>8523</v>
      </c>
      <c r="U83" s="8" t="n">
        <v>44</v>
      </c>
      <c r="V83" s="6" t="s">
        <v>45</v>
      </c>
      <c r="W83" s="8" t="n">
        <v>1400</v>
      </c>
      <c r="X83" s="8" t="n">
        <v>9184</v>
      </c>
      <c r="Y83" s="7" t="n">
        <f aca="false">IFERROR(T83/X83*100,"")</f>
        <v>92.8027003484321</v>
      </c>
      <c r="Z83" s="7" t="n">
        <f aca="false">IFERROR(S83/N83*100,"")</f>
        <v>92.7083333333333</v>
      </c>
      <c r="AA83" s="7" t="n">
        <f aca="false">IFERROR(T83/(W83*S83/60)*100,"")</f>
        <v>82.083467094703</v>
      </c>
      <c r="AB83" s="7" t="n">
        <f aca="false">IFERROR(T83/(T83+U83)*100,"")</f>
        <v>99.4864013073421</v>
      </c>
      <c r="AC83" s="7" t="n">
        <f aca="false">IFERROR(Z83*AA83*AB83/10000,"")</f>
        <v>75.7073748520069</v>
      </c>
      <c r="AD83" s="6"/>
    </row>
    <row r="84" customFormat="false" ht="15" hidden="false" customHeight="false" outlineLevel="0" collapsed="false">
      <c r="A84" s="3" t="s">
        <v>140</v>
      </c>
      <c r="B84" s="3" t="s">
        <v>31</v>
      </c>
      <c r="C84" s="3" t="s">
        <v>32</v>
      </c>
      <c r="D84" s="3" t="s">
        <v>33</v>
      </c>
      <c r="E84" s="3" t="s">
        <v>46</v>
      </c>
      <c r="F84" s="3" t="s">
        <v>35</v>
      </c>
      <c r="G84" s="3" t="s">
        <v>165</v>
      </c>
      <c r="H84" s="3" t="s">
        <v>37</v>
      </c>
      <c r="I84" s="3" t="s">
        <v>166</v>
      </c>
      <c r="J84" s="3" t="s">
        <v>65</v>
      </c>
      <c r="K84" s="3" t="s">
        <v>66</v>
      </c>
      <c r="L84" s="3" t="s">
        <v>41</v>
      </c>
      <c r="M84" s="3" t="s">
        <v>42</v>
      </c>
      <c r="N84" s="4" t="n">
        <f aca="false">IFERROR(MOD(TIMEVALUE(M84)-TIMEVALUE(L84),1)*1440,"")</f>
        <v>480</v>
      </c>
      <c r="O84" s="5" t="n">
        <v>0</v>
      </c>
      <c r="P84" s="5" t="n">
        <v>120</v>
      </c>
      <c r="Q84" s="3" t="s">
        <v>95</v>
      </c>
      <c r="R84" s="3" t="s">
        <v>50</v>
      </c>
      <c r="S84" s="4" t="n">
        <f aca="false">IFERROR(N84-N(O84)-N(P84),"")</f>
        <v>360</v>
      </c>
      <c r="T84" s="5" t="n">
        <v>7050</v>
      </c>
      <c r="U84" s="5" t="n">
        <v>130</v>
      </c>
      <c r="V84" s="3" t="s">
        <v>45</v>
      </c>
      <c r="W84" s="5" t="n">
        <v>1400</v>
      </c>
      <c r="X84" s="5" t="n">
        <v>9184</v>
      </c>
      <c r="Y84" s="4" t="n">
        <f aca="false">IFERROR(T84/X84*100,"")</f>
        <v>76.76393728223</v>
      </c>
      <c r="Z84" s="4" t="n">
        <f aca="false">IFERROR(S84/N84*100,"")</f>
        <v>75</v>
      </c>
      <c r="AA84" s="4" t="n">
        <f aca="false">IFERROR(T84/(W84*S84/60)*100,"")</f>
        <v>83.9285714285714</v>
      </c>
      <c r="AB84" s="4" t="n">
        <f aca="false">IFERROR(T84/(T84+U84)*100,"")</f>
        <v>98.1894150417827</v>
      </c>
      <c r="AC84" s="4" t="n">
        <f aca="false">IFERROR(Z84*AA84*AB84/10000,"")</f>
        <v>61.8067300039793</v>
      </c>
      <c r="AD84" s="3"/>
    </row>
    <row r="85" customFormat="false" ht="15" hidden="false" customHeight="false" outlineLevel="0" collapsed="false">
      <c r="A85" s="6" t="s">
        <v>140</v>
      </c>
      <c r="B85" s="6" t="s">
        <v>31</v>
      </c>
      <c r="C85" s="6" t="s">
        <v>99</v>
      </c>
      <c r="D85" s="6" t="s">
        <v>33</v>
      </c>
      <c r="E85" s="6" t="s">
        <v>51</v>
      </c>
      <c r="F85" s="6" t="s">
        <v>52</v>
      </c>
      <c r="G85" s="6" t="s">
        <v>167</v>
      </c>
      <c r="H85" s="6" t="s">
        <v>37</v>
      </c>
      <c r="I85" s="6" t="s">
        <v>162</v>
      </c>
      <c r="J85" s="6" t="s">
        <v>55</v>
      </c>
      <c r="K85" s="6" t="s">
        <v>56</v>
      </c>
      <c r="L85" s="6" t="s">
        <v>41</v>
      </c>
      <c r="M85" s="6" t="s">
        <v>42</v>
      </c>
      <c r="N85" s="7" t="n">
        <f aca="false">IFERROR(MOD(TIMEVALUE(M85)-TIMEVALUE(L85),1)*1440,"")</f>
        <v>480</v>
      </c>
      <c r="O85" s="8" t="n">
        <v>0</v>
      </c>
      <c r="P85" s="8" t="n">
        <v>60</v>
      </c>
      <c r="Q85" s="6" t="s">
        <v>43</v>
      </c>
      <c r="R85" s="6" t="s">
        <v>44</v>
      </c>
      <c r="S85" s="7" t="n">
        <f aca="false">IFERROR(N85-N(O85)-N(P85),"")</f>
        <v>420</v>
      </c>
      <c r="T85" s="8" t="n">
        <v>6796</v>
      </c>
      <c r="U85" s="8" t="n">
        <v>60</v>
      </c>
      <c r="V85" s="6" t="s">
        <v>45</v>
      </c>
      <c r="W85" s="8" t="n">
        <v>1200</v>
      </c>
      <c r="X85" s="8" t="n">
        <v>7871</v>
      </c>
      <c r="Y85" s="7" t="n">
        <f aca="false">IFERROR(T85/X85*100,"")</f>
        <v>86.3422690890611</v>
      </c>
      <c r="Z85" s="7" t="n">
        <f aca="false">IFERROR(S85/N85*100,"")</f>
        <v>87.5</v>
      </c>
      <c r="AA85" s="7" t="n">
        <f aca="false">IFERROR(T85/(W85*S85/60)*100,"")</f>
        <v>80.9047619047619</v>
      </c>
      <c r="AB85" s="7" t="n">
        <f aca="false">IFERROR(T85/(T85+U85)*100,"")</f>
        <v>99.1248541423571</v>
      </c>
      <c r="AC85" s="7" t="n">
        <f aca="false">IFERROR(Z85*AA85*AB85/10000,"")</f>
        <v>70.1721363282769</v>
      </c>
      <c r="AD85" s="6"/>
    </row>
    <row r="86" customFormat="false" ht="15" hidden="false" customHeight="false" outlineLevel="0" collapsed="false">
      <c r="A86" s="3" t="s">
        <v>140</v>
      </c>
      <c r="B86" s="3" t="s">
        <v>58</v>
      </c>
      <c r="C86" s="3" t="s">
        <v>59</v>
      </c>
      <c r="D86" s="3" t="s">
        <v>60</v>
      </c>
      <c r="E86" s="3" t="s">
        <v>34</v>
      </c>
      <c r="F86" s="3" t="s">
        <v>35</v>
      </c>
      <c r="G86" s="3" t="s">
        <v>168</v>
      </c>
      <c r="H86" s="3" t="s">
        <v>37</v>
      </c>
      <c r="I86" s="3" t="s">
        <v>166</v>
      </c>
      <c r="J86" s="3" t="s">
        <v>65</v>
      </c>
      <c r="K86" s="3" t="s">
        <v>66</v>
      </c>
      <c r="L86" s="3" t="s">
        <v>42</v>
      </c>
      <c r="M86" s="3" t="s">
        <v>63</v>
      </c>
      <c r="N86" s="4" t="n">
        <f aca="false">IFERROR(MOD(TIMEVALUE(M86)-TIMEVALUE(L86),1)*1440,"")</f>
        <v>480</v>
      </c>
      <c r="O86" s="5" t="n">
        <v>30</v>
      </c>
      <c r="P86" s="5" t="n">
        <v>45</v>
      </c>
      <c r="Q86" s="3" t="s">
        <v>95</v>
      </c>
      <c r="R86" s="3" t="s">
        <v>50</v>
      </c>
      <c r="S86" s="4" t="n">
        <f aca="false">IFERROR(N86-N(O86)-N(P86),"")</f>
        <v>405</v>
      </c>
      <c r="T86" s="5" t="n">
        <v>7890</v>
      </c>
      <c r="U86" s="5" t="n">
        <v>228</v>
      </c>
      <c r="V86" s="3" t="s">
        <v>45</v>
      </c>
      <c r="W86" s="5" t="n">
        <v>1400</v>
      </c>
      <c r="X86" s="5" t="n">
        <v>9184</v>
      </c>
      <c r="Y86" s="4" t="n">
        <f aca="false">IFERROR(T86/X86*100,"")</f>
        <v>85.9102787456446</v>
      </c>
      <c r="Z86" s="4" t="n">
        <f aca="false">IFERROR(S86/N86*100,"")</f>
        <v>84.375</v>
      </c>
      <c r="AA86" s="4" t="n">
        <f aca="false">IFERROR(T86/(W86*S86/60)*100,"")</f>
        <v>83.4920634920635</v>
      </c>
      <c r="AB86" s="4" t="n">
        <f aca="false">IFERROR(T86/(T86+U86)*100,"")</f>
        <v>97.1914264597191</v>
      </c>
      <c r="AC86" s="4" t="n">
        <f aca="false">IFERROR(Z86*AA86*AB86/10000,"")</f>
        <v>68.4678888184986</v>
      </c>
      <c r="AD86" s="3"/>
    </row>
    <row r="87" customFormat="false" ht="15" hidden="false" customHeight="false" outlineLevel="0" collapsed="false">
      <c r="A87" s="6" t="s">
        <v>140</v>
      </c>
      <c r="B87" s="6" t="s">
        <v>58</v>
      </c>
      <c r="C87" s="6" t="s">
        <v>67</v>
      </c>
      <c r="D87" s="6" t="s">
        <v>60</v>
      </c>
      <c r="E87" s="6" t="s">
        <v>46</v>
      </c>
      <c r="F87" s="6" t="s">
        <v>35</v>
      </c>
      <c r="G87" s="6" t="s">
        <v>169</v>
      </c>
      <c r="H87" s="6" t="s">
        <v>37</v>
      </c>
      <c r="I87" s="6" t="s">
        <v>145</v>
      </c>
      <c r="J87" s="6" t="s">
        <v>39</v>
      </c>
      <c r="K87" s="6" t="s">
        <v>40</v>
      </c>
      <c r="L87" s="6" t="s">
        <v>42</v>
      </c>
      <c r="M87" s="6" t="s">
        <v>63</v>
      </c>
      <c r="N87" s="7" t="n">
        <f aca="false">IFERROR(MOD(TIMEVALUE(M87)-TIMEVALUE(L87),1)*1440,"")</f>
        <v>480</v>
      </c>
      <c r="O87" s="8" t="n">
        <v>0</v>
      </c>
      <c r="P87" s="8" t="n">
        <v>130</v>
      </c>
      <c r="Q87" s="6" t="s">
        <v>49</v>
      </c>
      <c r="R87" s="6" t="s">
        <v>50</v>
      </c>
      <c r="S87" s="7" t="n">
        <f aca="false">IFERROR(N87-N(O87)-N(P87),"")</f>
        <v>350</v>
      </c>
      <c r="T87" s="8" t="n">
        <v>4821</v>
      </c>
      <c r="U87" s="8" t="n">
        <v>98</v>
      </c>
      <c r="V87" s="6" t="s">
        <v>45</v>
      </c>
      <c r="W87" s="8" t="n">
        <v>950</v>
      </c>
      <c r="X87" s="8" t="n">
        <v>6232</v>
      </c>
      <c r="Y87" s="7" t="n">
        <f aca="false">IFERROR(T87/X87*100,"")</f>
        <v>77.3587933247754</v>
      </c>
      <c r="Z87" s="7" t="n">
        <f aca="false">IFERROR(S87/N87*100,"")</f>
        <v>72.9166666666667</v>
      </c>
      <c r="AA87" s="7" t="n">
        <f aca="false">IFERROR(T87/(W87*S87/60)*100,"")</f>
        <v>86.9954887218045</v>
      </c>
      <c r="AB87" s="7" t="n">
        <f aca="false">IFERROR(T87/(T87+U87)*100,"")</f>
        <v>98.0077251473877</v>
      </c>
      <c r="AC87" s="7" t="n">
        <f aca="false">IFERROR(Z87*AA87*AB87/10000,"")</f>
        <v>62.1704267020468</v>
      </c>
      <c r="AD87" s="6"/>
    </row>
    <row r="88" customFormat="false" ht="15" hidden="false" customHeight="false" outlineLevel="0" collapsed="false">
      <c r="A88" s="3" t="s">
        <v>140</v>
      </c>
      <c r="B88" s="3" t="s">
        <v>58</v>
      </c>
      <c r="C88" s="3" t="s">
        <v>99</v>
      </c>
      <c r="D88" s="3" t="s">
        <v>60</v>
      </c>
      <c r="E88" s="3" t="s">
        <v>51</v>
      </c>
      <c r="F88" s="3" t="s">
        <v>52</v>
      </c>
      <c r="G88" s="3" t="s">
        <v>170</v>
      </c>
      <c r="H88" s="3" t="s">
        <v>37</v>
      </c>
      <c r="I88" s="3" t="s">
        <v>145</v>
      </c>
      <c r="J88" s="3" t="s">
        <v>65</v>
      </c>
      <c r="K88" s="3" t="s">
        <v>66</v>
      </c>
      <c r="L88" s="3" t="s">
        <v>42</v>
      </c>
      <c r="M88" s="3" t="s">
        <v>63</v>
      </c>
      <c r="N88" s="4" t="n">
        <f aca="false">IFERROR(MOD(TIMEVALUE(M88)-TIMEVALUE(L88),1)*1440,"")</f>
        <v>480</v>
      </c>
      <c r="O88" s="5" t="n">
        <v>0</v>
      </c>
      <c r="P88" s="5" t="n">
        <v>95</v>
      </c>
      <c r="Q88" s="3" t="s">
        <v>43</v>
      </c>
      <c r="R88" s="3" t="s">
        <v>44</v>
      </c>
      <c r="S88" s="4" t="n">
        <f aca="false">IFERROR(N88-N(O88)-N(P88),"")</f>
        <v>385</v>
      </c>
      <c r="T88" s="5" t="n">
        <v>8740</v>
      </c>
      <c r="U88" s="5" t="n">
        <v>151</v>
      </c>
      <c r="V88" s="3" t="s">
        <v>45</v>
      </c>
      <c r="W88" s="5" t="n">
        <v>1400</v>
      </c>
      <c r="X88" s="5" t="n">
        <v>9184</v>
      </c>
      <c r="Y88" s="4" t="n">
        <f aca="false">IFERROR(T88/X88*100,"")</f>
        <v>95.1655052264809</v>
      </c>
      <c r="Z88" s="4" t="n">
        <f aca="false">IFERROR(S88/N88*100,"")</f>
        <v>80.2083333333333</v>
      </c>
      <c r="AA88" s="4" t="n">
        <f aca="false">IFERROR(T88/(W88*S88/60)*100,"")</f>
        <v>97.291280148423</v>
      </c>
      <c r="AB88" s="4" t="n">
        <f aca="false">IFERROR(T88/(T88+U88)*100,"")</f>
        <v>98.3016533573276</v>
      </c>
      <c r="AC88" s="4" t="n">
        <f aca="false">IFERROR(Z88*AA88*AB88/10000,"")</f>
        <v>76.7103973520575</v>
      </c>
      <c r="AD88" s="3"/>
    </row>
    <row r="89" customFormat="false" ht="15" hidden="false" customHeight="false" outlineLevel="0" collapsed="false">
      <c r="A89" s="6" t="s">
        <v>140</v>
      </c>
      <c r="B89" s="6" t="s">
        <v>69</v>
      </c>
      <c r="C89" s="6" t="s">
        <v>67</v>
      </c>
      <c r="D89" s="6" t="s">
        <v>71</v>
      </c>
      <c r="E89" s="6" t="s">
        <v>34</v>
      </c>
      <c r="F89" s="6" t="s">
        <v>35</v>
      </c>
      <c r="G89" s="6" t="s">
        <v>171</v>
      </c>
      <c r="H89" s="6" t="s">
        <v>37</v>
      </c>
      <c r="I89" s="6" t="s">
        <v>166</v>
      </c>
      <c r="J89" s="6" t="s">
        <v>55</v>
      </c>
      <c r="K89" s="6" t="s">
        <v>56</v>
      </c>
      <c r="L89" s="6" t="s">
        <v>63</v>
      </c>
      <c r="M89" s="6" t="s">
        <v>41</v>
      </c>
      <c r="N89" s="7" t="n">
        <f aca="false">IFERROR(MOD(TIMEVALUE(M89)-TIMEVALUE(L89),1)*1440,"")</f>
        <v>480</v>
      </c>
      <c r="O89" s="8" t="n">
        <v>0</v>
      </c>
      <c r="P89" s="8" t="n">
        <v>0</v>
      </c>
      <c r="Q89" s="6"/>
      <c r="R89" s="6"/>
      <c r="S89" s="7" t="n">
        <f aca="false">IFERROR(N89-N(O89)-N(P89),"")</f>
        <v>480</v>
      </c>
      <c r="T89" s="8" t="n">
        <v>8515</v>
      </c>
      <c r="U89" s="8" t="n">
        <v>231</v>
      </c>
      <c r="V89" s="6" t="s">
        <v>45</v>
      </c>
      <c r="W89" s="8" t="n">
        <v>1200</v>
      </c>
      <c r="X89" s="8" t="n">
        <v>7871</v>
      </c>
      <c r="Y89" s="7" t="n">
        <f aca="false">IFERROR(T89/X89*100,"")</f>
        <v>108.1819336806</v>
      </c>
      <c r="Z89" s="7" t="n">
        <f aca="false">IFERROR(S89/N89*100,"")</f>
        <v>100</v>
      </c>
      <c r="AA89" s="7" t="n">
        <f aca="false">IFERROR(T89/(W89*S89/60)*100,"")</f>
        <v>88.6979166666667</v>
      </c>
      <c r="AB89" s="7" t="n">
        <f aca="false">IFERROR(T89/(T89+U89)*100,"")</f>
        <v>97.3587925908987</v>
      </c>
      <c r="AC89" s="7" t="n">
        <f aca="false">IFERROR(Z89*AA89*AB89/10000,"")</f>
        <v>86.3552207199482</v>
      </c>
      <c r="AD89" s="6"/>
    </row>
    <row r="90" customFormat="false" ht="15" hidden="false" customHeight="false" outlineLevel="0" collapsed="false">
      <c r="A90" s="3" t="s">
        <v>140</v>
      </c>
      <c r="B90" s="3" t="s">
        <v>69</v>
      </c>
      <c r="C90" s="3" t="s">
        <v>67</v>
      </c>
      <c r="D90" s="3" t="s">
        <v>71</v>
      </c>
      <c r="E90" s="3" t="s">
        <v>46</v>
      </c>
      <c r="F90" s="3" t="s">
        <v>35</v>
      </c>
      <c r="G90" s="3" t="s">
        <v>172</v>
      </c>
      <c r="H90" s="3" t="s">
        <v>37</v>
      </c>
      <c r="I90" s="3" t="s">
        <v>145</v>
      </c>
      <c r="J90" s="3" t="s">
        <v>65</v>
      </c>
      <c r="K90" s="3" t="s">
        <v>66</v>
      </c>
      <c r="L90" s="3" t="s">
        <v>63</v>
      </c>
      <c r="M90" s="3" t="s">
        <v>41</v>
      </c>
      <c r="N90" s="4" t="n">
        <f aca="false">IFERROR(MOD(TIMEVALUE(M90)-TIMEVALUE(L90),1)*1440,"")</f>
        <v>480</v>
      </c>
      <c r="O90" s="5" t="n">
        <v>0</v>
      </c>
      <c r="P90" s="5" t="n">
        <v>0</v>
      </c>
      <c r="Q90" s="3"/>
      <c r="R90" s="3"/>
      <c r="S90" s="4" t="n">
        <f aca="false">IFERROR(N90-N(O90)-N(P90),"")</f>
        <v>480</v>
      </c>
      <c r="T90" s="5" t="n">
        <v>9707</v>
      </c>
      <c r="U90" s="5" t="n">
        <v>236</v>
      </c>
      <c r="V90" s="3" t="s">
        <v>45</v>
      </c>
      <c r="W90" s="5" t="n">
        <v>1400</v>
      </c>
      <c r="X90" s="5" t="n">
        <v>9184</v>
      </c>
      <c r="Y90" s="4" t="n">
        <f aca="false">IFERROR(T90/X90*100,"")</f>
        <v>105.69468641115</v>
      </c>
      <c r="Z90" s="4" t="n">
        <f aca="false">IFERROR(S90/N90*100,"")</f>
        <v>100</v>
      </c>
      <c r="AA90" s="4" t="n">
        <f aca="false">IFERROR(T90/(W90*S90/60)*100,"")</f>
        <v>86.6696428571429</v>
      </c>
      <c r="AB90" s="4" t="n">
        <f aca="false">IFERROR(T90/(T90+U90)*100,"")</f>
        <v>97.626470884039</v>
      </c>
      <c r="AC90" s="4" t="n">
        <f aca="false">IFERROR(Z90*AA90*AB90/10000,"")</f>
        <v>84.6125136492292</v>
      </c>
      <c r="AD90" s="3"/>
    </row>
    <row r="91" customFormat="false" ht="15" hidden="false" customHeight="false" outlineLevel="0" collapsed="false">
      <c r="A91" s="6" t="s">
        <v>140</v>
      </c>
      <c r="B91" s="6" t="s">
        <v>69</v>
      </c>
      <c r="C91" s="6" t="s">
        <v>32</v>
      </c>
      <c r="D91" s="6" t="s">
        <v>71</v>
      </c>
      <c r="E91" s="6" t="s">
        <v>51</v>
      </c>
      <c r="F91" s="6" t="s">
        <v>52</v>
      </c>
      <c r="G91" s="6" t="s">
        <v>173</v>
      </c>
      <c r="H91" s="6" t="s">
        <v>62</v>
      </c>
      <c r="I91" s="6"/>
      <c r="J91" s="6" t="s">
        <v>55</v>
      </c>
      <c r="K91" s="6" t="s">
        <v>56</v>
      </c>
      <c r="L91" s="6" t="s">
        <v>63</v>
      </c>
      <c r="M91" s="6" t="s">
        <v>41</v>
      </c>
      <c r="N91" s="7" t="n">
        <f aca="false">IFERROR(MOD(TIMEVALUE(M91)-TIMEVALUE(L91),1)*1440,"")</f>
        <v>480</v>
      </c>
      <c r="O91" s="8" t="n">
        <v>45</v>
      </c>
      <c r="P91" s="8" t="n">
        <v>45</v>
      </c>
      <c r="Q91" s="6" t="s">
        <v>95</v>
      </c>
      <c r="R91" s="6" t="s">
        <v>50</v>
      </c>
      <c r="S91" s="7" t="n">
        <f aca="false">IFERROR(N91-N(O91)-N(P91),"")</f>
        <v>390</v>
      </c>
      <c r="T91" s="8" t="n">
        <v>7222</v>
      </c>
      <c r="U91" s="8" t="n">
        <v>116</v>
      </c>
      <c r="V91" s="6" t="s">
        <v>45</v>
      </c>
      <c r="W91" s="8" t="n">
        <v>1200</v>
      </c>
      <c r="X91" s="8" t="n">
        <v>7871</v>
      </c>
      <c r="Y91" s="7" t="n">
        <f aca="false">IFERROR(T91/X91*100,"")</f>
        <v>91.754541989582</v>
      </c>
      <c r="Z91" s="7" t="n">
        <f aca="false">IFERROR(S91/N91*100,"")</f>
        <v>81.25</v>
      </c>
      <c r="AA91" s="7" t="n">
        <f aca="false">IFERROR(T91/(W91*S91/60)*100,"")</f>
        <v>92.5897435897436</v>
      </c>
      <c r="AB91" s="7" t="n">
        <f aca="false">IFERROR(T91/(T91+U91)*100,"")</f>
        <v>98.4191877895885</v>
      </c>
      <c r="AC91" s="7" t="n">
        <f aca="false">IFERROR(Z91*AA91*AB91/10000,"")</f>
        <v>74.0399348142092</v>
      </c>
      <c r="AD91" s="6"/>
    </row>
    <row r="92" customFormat="false" ht="15" hidden="false" customHeight="false" outlineLevel="0" collapsed="false">
      <c r="A92" s="3" t="s">
        <v>166</v>
      </c>
      <c r="B92" s="3" t="s">
        <v>31</v>
      </c>
      <c r="C92" s="3" t="s">
        <v>59</v>
      </c>
      <c r="D92" s="3" t="s">
        <v>33</v>
      </c>
      <c r="E92" s="3" t="s">
        <v>34</v>
      </c>
      <c r="F92" s="3" t="s">
        <v>35</v>
      </c>
      <c r="G92" s="3" t="s">
        <v>174</v>
      </c>
      <c r="H92" s="3" t="s">
        <v>37</v>
      </c>
      <c r="I92" s="3" t="s">
        <v>175</v>
      </c>
      <c r="J92" s="3" t="s">
        <v>65</v>
      </c>
      <c r="K92" s="3" t="s">
        <v>66</v>
      </c>
      <c r="L92" s="3" t="s">
        <v>41</v>
      </c>
      <c r="M92" s="3" t="s">
        <v>42</v>
      </c>
      <c r="N92" s="4" t="n">
        <f aca="false">IFERROR(MOD(TIMEVALUE(M92)-TIMEVALUE(L92),1)*1440,"")</f>
        <v>480</v>
      </c>
      <c r="O92" s="5" t="n">
        <v>0</v>
      </c>
      <c r="P92" s="5" t="n">
        <v>0</v>
      </c>
      <c r="Q92" s="3"/>
      <c r="R92" s="3"/>
      <c r="S92" s="4" t="n">
        <f aca="false">IFERROR(N92-N(O92)-N(P92),"")</f>
        <v>480</v>
      </c>
      <c r="T92" s="5" t="n">
        <v>9244</v>
      </c>
      <c r="U92" s="5" t="n">
        <v>277</v>
      </c>
      <c r="V92" s="3" t="s">
        <v>45</v>
      </c>
      <c r="W92" s="5" t="n">
        <v>1400</v>
      </c>
      <c r="X92" s="5" t="n">
        <v>9184</v>
      </c>
      <c r="Y92" s="4" t="n">
        <f aca="false">IFERROR(T92/X92*100,"")</f>
        <v>100.65331010453</v>
      </c>
      <c r="Z92" s="4" t="n">
        <f aca="false">IFERROR(S92/N92*100,"")</f>
        <v>100</v>
      </c>
      <c r="AA92" s="4" t="n">
        <f aca="false">IFERROR(T92/(W92*S92/60)*100,"")</f>
        <v>82.5357142857143</v>
      </c>
      <c r="AB92" s="4" t="n">
        <f aca="false">IFERROR(T92/(T92+U92)*100,"")</f>
        <v>97.0906417393131</v>
      </c>
      <c r="AC92" s="4" t="n">
        <f aca="false">IFERROR(Z92*AA92*AB92/10000,"")</f>
        <v>80.1344546641259</v>
      </c>
      <c r="AD92" s="3"/>
    </row>
    <row r="93" customFormat="false" ht="15" hidden="false" customHeight="false" outlineLevel="0" collapsed="false">
      <c r="A93" s="6" t="s">
        <v>166</v>
      </c>
      <c r="B93" s="6" t="s">
        <v>31</v>
      </c>
      <c r="C93" s="6" t="s">
        <v>32</v>
      </c>
      <c r="D93" s="6" t="s">
        <v>33</v>
      </c>
      <c r="E93" s="6" t="s">
        <v>46</v>
      </c>
      <c r="F93" s="6" t="s">
        <v>35</v>
      </c>
      <c r="G93" s="6" t="s">
        <v>176</v>
      </c>
      <c r="H93" s="6" t="s">
        <v>37</v>
      </c>
      <c r="I93" s="6" t="s">
        <v>175</v>
      </c>
      <c r="J93" s="6" t="s">
        <v>65</v>
      </c>
      <c r="K93" s="6" t="s">
        <v>66</v>
      </c>
      <c r="L93" s="6" t="s">
        <v>41</v>
      </c>
      <c r="M93" s="6" t="s">
        <v>42</v>
      </c>
      <c r="N93" s="7" t="n">
        <f aca="false">IFERROR(MOD(TIMEVALUE(M93)-TIMEVALUE(L93),1)*1440,"")</f>
        <v>480</v>
      </c>
      <c r="O93" s="8" t="n">
        <v>0</v>
      </c>
      <c r="P93" s="8" t="n">
        <v>50</v>
      </c>
      <c r="Q93" s="6" t="s">
        <v>43</v>
      </c>
      <c r="R93" s="6" t="s">
        <v>44</v>
      </c>
      <c r="S93" s="7" t="n">
        <f aca="false">IFERROR(N93-N(O93)-N(P93),"")</f>
        <v>430</v>
      </c>
      <c r="T93" s="8" t="n">
        <v>8905</v>
      </c>
      <c r="U93" s="8" t="n">
        <v>103</v>
      </c>
      <c r="V93" s="6" t="s">
        <v>45</v>
      </c>
      <c r="W93" s="8" t="n">
        <v>1400</v>
      </c>
      <c r="X93" s="8" t="n">
        <v>9184</v>
      </c>
      <c r="Y93" s="7" t="n">
        <f aca="false">IFERROR(T93/X93*100,"")</f>
        <v>96.9621080139373</v>
      </c>
      <c r="Z93" s="7" t="n">
        <f aca="false">IFERROR(S93/N93*100,"")</f>
        <v>89.5833333333333</v>
      </c>
      <c r="AA93" s="7" t="n">
        <f aca="false">IFERROR(T93/(W93*S93/60)*100,"")</f>
        <v>88.7541528239203</v>
      </c>
      <c r="AB93" s="7" t="n">
        <f aca="false">IFERROR(T93/(T93+U93)*100,"")</f>
        <v>98.8565719360568</v>
      </c>
      <c r="AC93" s="7" t="n">
        <f aca="false">IFERROR(Z93*AA93*AB93/10000,"")</f>
        <v>78.5998011688023</v>
      </c>
      <c r="AD93" s="6"/>
    </row>
    <row r="94" customFormat="false" ht="15" hidden="false" customHeight="false" outlineLevel="0" collapsed="false">
      <c r="A94" s="3" t="s">
        <v>166</v>
      </c>
      <c r="B94" s="3" t="s">
        <v>31</v>
      </c>
      <c r="C94" s="3" t="s">
        <v>99</v>
      </c>
      <c r="D94" s="3" t="s">
        <v>33</v>
      </c>
      <c r="E94" s="3" t="s">
        <v>51</v>
      </c>
      <c r="F94" s="3" t="s">
        <v>52</v>
      </c>
      <c r="G94" s="3" t="s">
        <v>177</v>
      </c>
      <c r="H94" s="3" t="s">
        <v>37</v>
      </c>
      <c r="I94" s="3" t="s">
        <v>178</v>
      </c>
      <c r="J94" s="3" t="s">
        <v>55</v>
      </c>
      <c r="K94" s="3" t="s">
        <v>56</v>
      </c>
      <c r="L94" s="3" t="s">
        <v>41</v>
      </c>
      <c r="M94" s="3" t="s">
        <v>42</v>
      </c>
      <c r="N94" s="4" t="n">
        <f aca="false">IFERROR(MOD(TIMEVALUE(M94)-TIMEVALUE(L94),1)*1440,"")</f>
        <v>480</v>
      </c>
      <c r="O94" s="5" t="n">
        <v>0</v>
      </c>
      <c r="P94" s="5" t="n">
        <v>0</v>
      </c>
      <c r="Q94" s="3"/>
      <c r="R94" s="3"/>
      <c r="S94" s="4" t="n">
        <f aca="false">IFERROR(N94-N(O94)-N(P94),"")</f>
        <v>480</v>
      </c>
      <c r="T94" s="5" t="n">
        <v>8744</v>
      </c>
      <c r="U94" s="5" t="n">
        <v>101</v>
      </c>
      <c r="V94" s="3" t="s">
        <v>45</v>
      </c>
      <c r="W94" s="5" t="n">
        <v>1200</v>
      </c>
      <c r="X94" s="5" t="n">
        <v>7871</v>
      </c>
      <c r="Y94" s="4" t="n">
        <f aca="false">IFERROR(T94/X94*100,"")</f>
        <v>111.091347986279</v>
      </c>
      <c r="Z94" s="4" t="n">
        <f aca="false">IFERROR(S94/N94*100,"")</f>
        <v>100</v>
      </c>
      <c r="AA94" s="4" t="n">
        <f aca="false">IFERROR(T94/(W94*S94/60)*100,"")</f>
        <v>91.0833333333333</v>
      </c>
      <c r="AB94" s="4" t="n">
        <f aca="false">IFERROR(T94/(T94+U94)*100,"")</f>
        <v>98.8581119276427</v>
      </c>
      <c r="AC94" s="4" t="n">
        <f aca="false">IFERROR(Z94*AA94*AB94/10000,"")</f>
        <v>90.0432636140946</v>
      </c>
      <c r="AD94" s="3"/>
    </row>
    <row r="95" customFormat="false" ht="15" hidden="false" customHeight="false" outlineLevel="0" collapsed="false">
      <c r="A95" s="6" t="s">
        <v>166</v>
      </c>
      <c r="B95" s="6" t="s">
        <v>58</v>
      </c>
      <c r="C95" s="6" t="s">
        <v>32</v>
      </c>
      <c r="D95" s="6" t="s">
        <v>60</v>
      </c>
      <c r="E95" s="6" t="s">
        <v>34</v>
      </c>
      <c r="F95" s="6" t="s">
        <v>35</v>
      </c>
      <c r="G95" s="6" t="s">
        <v>179</v>
      </c>
      <c r="H95" s="6" t="s">
        <v>37</v>
      </c>
      <c r="I95" s="6" t="s">
        <v>175</v>
      </c>
      <c r="J95" s="6" t="s">
        <v>39</v>
      </c>
      <c r="K95" s="6" t="s">
        <v>40</v>
      </c>
      <c r="L95" s="6" t="s">
        <v>42</v>
      </c>
      <c r="M95" s="6" t="s">
        <v>63</v>
      </c>
      <c r="N95" s="7" t="n">
        <f aca="false">IFERROR(MOD(TIMEVALUE(M95)-TIMEVALUE(L95),1)*1440,"")</f>
        <v>480</v>
      </c>
      <c r="O95" s="8" t="n">
        <v>0</v>
      </c>
      <c r="P95" s="8" t="n">
        <v>75</v>
      </c>
      <c r="Q95" s="6" t="s">
        <v>74</v>
      </c>
      <c r="R95" s="6" t="s">
        <v>50</v>
      </c>
      <c r="S95" s="7" t="n">
        <f aca="false">IFERROR(N95-N(O95)-N(P95),"")</f>
        <v>405</v>
      </c>
      <c r="T95" s="8" t="n">
        <v>5800</v>
      </c>
      <c r="U95" s="8" t="n">
        <v>68</v>
      </c>
      <c r="V95" s="6" t="s">
        <v>45</v>
      </c>
      <c r="W95" s="8" t="n">
        <v>950</v>
      </c>
      <c r="X95" s="8" t="n">
        <v>6232</v>
      </c>
      <c r="Y95" s="7" t="n">
        <f aca="false">IFERROR(T95/X95*100,"")</f>
        <v>93.0680359435173</v>
      </c>
      <c r="Z95" s="7" t="n">
        <f aca="false">IFERROR(S95/N95*100,"")</f>
        <v>84.375</v>
      </c>
      <c r="AA95" s="7" t="n">
        <f aca="false">IFERROR(T95/(W95*S95/60)*100,"")</f>
        <v>90.448343079922</v>
      </c>
      <c r="AB95" s="7" t="n">
        <f aca="false">IFERROR(T95/(T95+U95)*100,"")</f>
        <v>98.8411724608044</v>
      </c>
      <c r="AC95" s="7" t="n">
        <f aca="false">IFERROR(Z95*AA95*AB95/10000,"")</f>
        <v>75.4314210885086</v>
      </c>
      <c r="AD95" s="6"/>
    </row>
    <row r="96" customFormat="false" ht="15" hidden="false" customHeight="false" outlineLevel="0" collapsed="false">
      <c r="A96" s="3" t="s">
        <v>166</v>
      </c>
      <c r="B96" s="3" t="s">
        <v>58</v>
      </c>
      <c r="C96" s="3" t="s">
        <v>32</v>
      </c>
      <c r="D96" s="3" t="s">
        <v>60</v>
      </c>
      <c r="E96" s="3" t="s">
        <v>46</v>
      </c>
      <c r="F96" s="3" t="s">
        <v>35</v>
      </c>
      <c r="G96" s="3" t="s">
        <v>180</v>
      </c>
      <c r="H96" s="3" t="s">
        <v>37</v>
      </c>
      <c r="I96" s="3" t="s">
        <v>175</v>
      </c>
      <c r="J96" s="3" t="s">
        <v>65</v>
      </c>
      <c r="K96" s="3" t="s">
        <v>66</v>
      </c>
      <c r="L96" s="3" t="s">
        <v>42</v>
      </c>
      <c r="M96" s="3" t="s">
        <v>63</v>
      </c>
      <c r="N96" s="4" t="n">
        <f aca="false">IFERROR(MOD(TIMEVALUE(M96)-TIMEVALUE(L96),1)*1440,"")</f>
        <v>480</v>
      </c>
      <c r="O96" s="5" t="n">
        <v>20</v>
      </c>
      <c r="P96" s="5" t="n">
        <v>0</v>
      </c>
      <c r="Q96" s="3"/>
      <c r="R96" s="3"/>
      <c r="S96" s="4" t="n">
        <f aca="false">IFERROR(N96-N(O96)-N(P96),"")</f>
        <v>460</v>
      </c>
      <c r="T96" s="5" t="n">
        <v>10006</v>
      </c>
      <c r="U96" s="5" t="n">
        <v>105</v>
      </c>
      <c r="V96" s="3" t="s">
        <v>45</v>
      </c>
      <c r="W96" s="5" t="n">
        <v>1400</v>
      </c>
      <c r="X96" s="5" t="n">
        <v>9184</v>
      </c>
      <c r="Y96" s="4" t="n">
        <f aca="false">IFERROR(T96/X96*100,"")</f>
        <v>108.950348432056</v>
      </c>
      <c r="Z96" s="4" t="n">
        <f aca="false">IFERROR(S96/N96*100,"")</f>
        <v>95.8333333333333</v>
      </c>
      <c r="AA96" s="4" t="n">
        <f aca="false">IFERROR(T96/(W96*S96/60)*100,"")</f>
        <v>93.223602484472</v>
      </c>
      <c r="AB96" s="4" t="n">
        <f aca="false">IFERROR(T96/(T96+U96)*100,"")</f>
        <v>98.9615270497478</v>
      </c>
      <c r="AC96" s="4" t="n">
        <f aca="false">IFERROR(Z96*AA96*AB96/10000,"")</f>
        <v>88.4115213981943</v>
      </c>
      <c r="AD96" s="3"/>
    </row>
    <row r="97" customFormat="false" ht="15" hidden="false" customHeight="false" outlineLevel="0" collapsed="false">
      <c r="A97" s="6" t="s">
        <v>166</v>
      </c>
      <c r="B97" s="6" t="s">
        <v>58</v>
      </c>
      <c r="C97" s="6" t="s">
        <v>59</v>
      </c>
      <c r="D97" s="6" t="s">
        <v>60</v>
      </c>
      <c r="E97" s="6" t="s">
        <v>51</v>
      </c>
      <c r="F97" s="6" t="s">
        <v>52</v>
      </c>
      <c r="G97" s="6" t="s">
        <v>181</v>
      </c>
      <c r="H97" s="6" t="s">
        <v>37</v>
      </c>
      <c r="I97" s="6" t="s">
        <v>182</v>
      </c>
      <c r="J97" s="6" t="s">
        <v>65</v>
      </c>
      <c r="K97" s="6" t="s">
        <v>66</v>
      </c>
      <c r="L97" s="6" t="s">
        <v>42</v>
      </c>
      <c r="M97" s="6" t="s">
        <v>63</v>
      </c>
      <c r="N97" s="7" t="n">
        <f aca="false">IFERROR(MOD(TIMEVALUE(M97)-TIMEVALUE(L97),1)*1440,"")</f>
        <v>480</v>
      </c>
      <c r="O97" s="8" t="n">
        <v>30</v>
      </c>
      <c r="P97" s="8" t="n">
        <v>75</v>
      </c>
      <c r="Q97" s="6" t="s">
        <v>95</v>
      </c>
      <c r="R97" s="6" t="s">
        <v>50</v>
      </c>
      <c r="S97" s="7" t="n">
        <f aca="false">IFERROR(N97-N(O97)-N(P97),"")</f>
        <v>375</v>
      </c>
      <c r="T97" s="8" t="n">
        <v>7229</v>
      </c>
      <c r="U97" s="8" t="n">
        <v>189</v>
      </c>
      <c r="V97" s="6" t="s">
        <v>45</v>
      </c>
      <c r="W97" s="8" t="n">
        <v>1400</v>
      </c>
      <c r="X97" s="8" t="n">
        <v>9184</v>
      </c>
      <c r="Y97" s="7" t="n">
        <f aca="false">IFERROR(T97/X97*100,"")</f>
        <v>78.7129790940767</v>
      </c>
      <c r="Z97" s="7" t="n">
        <f aca="false">IFERROR(S97/N97*100,"")</f>
        <v>78.125</v>
      </c>
      <c r="AA97" s="7" t="n">
        <f aca="false">IFERROR(T97/(W97*S97/60)*100,"")</f>
        <v>82.6171428571429</v>
      </c>
      <c r="AB97" s="7" t="n">
        <f aca="false">IFERROR(T97/(T97+U97)*100,"")</f>
        <v>97.4521434348881</v>
      </c>
      <c r="AC97" s="7" t="n">
        <f aca="false">IFERROR(Z97*AA97*AB97/10000,"")</f>
        <v>62.9001379366791</v>
      </c>
      <c r="AD97" s="6"/>
    </row>
    <row r="98" customFormat="false" ht="15" hidden="false" customHeight="false" outlineLevel="0" collapsed="false">
      <c r="A98" s="3" t="s">
        <v>166</v>
      </c>
      <c r="B98" s="3" t="s">
        <v>69</v>
      </c>
      <c r="C98" s="3" t="s">
        <v>67</v>
      </c>
      <c r="D98" s="3" t="s">
        <v>71</v>
      </c>
      <c r="E98" s="3" t="s">
        <v>34</v>
      </c>
      <c r="F98" s="3" t="s">
        <v>35</v>
      </c>
      <c r="G98" s="3" t="s">
        <v>183</v>
      </c>
      <c r="H98" s="3" t="s">
        <v>37</v>
      </c>
      <c r="I98" s="3" t="s">
        <v>178</v>
      </c>
      <c r="J98" s="3" t="s">
        <v>39</v>
      </c>
      <c r="K98" s="3" t="s">
        <v>40</v>
      </c>
      <c r="L98" s="3" t="s">
        <v>63</v>
      </c>
      <c r="M98" s="3" t="s">
        <v>41</v>
      </c>
      <c r="N98" s="4" t="n">
        <f aca="false">IFERROR(MOD(TIMEVALUE(M98)-TIMEVALUE(L98),1)*1440,"")</f>
        <v>480</v>
      </c>
      <c r="O98" s="5" t="n">
        <v>20</v>
      </c>
      <c r="P98" s="5" t="n">
        <v>15</v>
      </c>
      <c r="Q98" s="3" t="s">
        <v>43</v>
      </c>
      <c r="R98" s="3" t="s">
        <v>44</v>
      </c>
      <c r="S98" s="4" t="n">
        <f aca="false">IFERROR(N98-N(O98)-N(P98),"")</f>
        <v>445</v>
      </c>
      <c r="T98" s="5" t="n">
        <v>5923</v>
      </c>
      <c r="U98" s="5" t="n">
        <v>112</v>
      </c>
      <c r="V98" s="3" t="s">
        <v>45</v>
      </c>
      <c r="W98" s="5"/>
      <c r="X98" s="5" t="n">
        <v>6232</v>
      </c>
      <c r="Y98" s="4" t="n">
        <f aca="false">IFERROR(T98/X98*100,"")</f>
        <v>95.0417201540437</v>
      </c>
      <c r="Z98" s="4" t="n">
        <f aca="false">IFERROR(S98/N98*100,"")</f>
        <v>92.7083333333333</v>
      </c>
      <c r="AA98" s="4" t="str">
        <f aca="false">IFERROR(T98/(W98*S98/60)*100,"")</f>
        <v/>
      </c>
      <c r="AB98" s="4" t="n">
        <f aca="false">IFERROR(T98/(T98+U98)*100,"")</f>
        <v>98.1441590720796</v>
      </c>
      <c r="AC98" s="4" t="str">
        <f aca="false">IFERROR(Z98*AA98*AB98/10000,"")</f>
        <v/>
      </c>
      <c r="AD98" s="3"/>
    </row>
    <row r="99" customFormat="false" ht="15" hidden="false" customHeight="false" outlineLevel="0" collapsed="false">
      <c r="A99" s="6" t="s">
        <v>166</v>
      </c>
      <c r="B99" s="6" t="s">
        <v>69</v>
      </c>
      <c r="C99" s="6" t="s">
        <v>59</v>
      </c>
      <c r="D99" s="6" t="s">
        <v>71</v>
      </c>
      <c r="E99" s="6" t="s">
        <v>46</v>
      </c>
      <c r="F99" s="6" t="s">
        <v>35</v>
      </c>
      <c r="G99" s="6" t="s">
        <v>184</v>
      </c>
      <c r="H99" s="6" t="s">
        <v>62</v>
      </c>
      <c r="I99" s="6"/>
      <c r="J99" s="6" t="s">
        <v>39</v>
      </c>
      <c r="K99" s="6" t="s">
        <v>40</v>
      </c>
      <c r="L99" s="6" t="s">
        <v>63</v>
      </c>
      <c r="M99" s="6" t="s">
        <v>41</v>
      </c>
      <c r="N99" s="7" t="n">
        <f aca="false">IFERROR(MOD(TIMEVALUE(M99)-TIMEVALUE(L99),1)*1440,"")</f>
        <v>480</v>
      </c>
      <c r="O99" s="8" t="n">
        <v>30</v>
      </c>
      <c r="P99" s="8" t="n">
        <v>100</v>
      </c>
      <c r="Q99" s="6" t="s">
        <v>49</v>
      </c>
      <c r="R99" s="6" t="s">
        <v>50</v>
      </c>
      <c r="S99" s="7" t="n">
        <f aca="false">IFERROR(N99-N(O99)-N(P99),"")</f>
        <v>350</v>
      </c>
      <c r="T99" s="8" t="n">
        <v>4544</v>
      </c>
      <c r="U99" s="8" t="n">
        <v>51</v>
      </c>
      <c r="V99" s="6" t="s">
        <v>45</v>
      </c>
      <c r="W99" s="8" t="n">
        <v>950</v>
      </c>
      <c r="X99" s="8" t="n">
        <v>6232</v>
      </c>
      <c r="Y99" s="7" t="n">
        <f aca="false">IFERROR(T99/X99*100,"")</f>
        <v>72.9139922978177</v>
      </c>
      <c r="Z99" s="7" t="n">
        <f aca="false">IFERROR(S99/N99*100,"")</f>
        <v>72.9166666666667</v>
      </c>
      <c r="AA99" s="7" t="n">
        <f aca="false">IFERROR(T99/(W99*S99/60)*100,"")</f>
        <v>81.996992481203</v>
      </c>
      <c r="AB99" s="7" t="n">
        <f aca="false">IFERROR(T99/(T99+U99)*100,"")</f>
        <v>98.8900979325354</v>
      </c>
      <c r="AC99" s="7" t="n">
        <f aca="false">IFERROR(Z99*AA99*AB99/10000,"")</f>
        <v>59.1258690796633</v>
      </c>
      <c r="AD99" s="6"/>
    </row>
    <row r="100" customFormat="false" ht="15" hidden="false" customHeight="false" outlineLevel="0" collapsed="false">
      <c r="A100" s="3" t="s">
        <v>166</v>
      </c>
      <c r="B100" s="3" t="s">
        <v>69</v>
      </c>
      <c r="C100" s="3" t="s">
        <v>59</v>
      </c>
      <c r="D100" s="3" t="s">
        <v>71</v>
      </c>
      <c r="E100" s="3" t="s">
        <v>51</v>
      </c>
      <c r="F100" s="3" t="s">
        <v>52</v>
      </c>
      <c r="G100" s="3" t="s">
        <v>185</v>
      </c>
      <c r="H100" s="3" t="s">
        <v>37</v>
      </c>
      <c r="I100" s="3" t="s">
        <v>182</v>
      </c>
      <c r="J100" s="3" t="s">
        <v>55</v>
      </c>
      <c r="K100" s="3" t="s">
        <v>56</v>
      </c>
      <c r="L100" s="3" t="s">
        <v>63</v>
      </c>
      <c r="M100" s="3" t="s">
        <v>41</v>
      </c>
      <c r="N100" s="4" t="n">
        <f aca="false">IFERROR(MOD(TIMEVALUE(M100)-TIMEVALUE(L100),1)*1440,"")</f>
        <v>480</v>
      </c>
      <c r="O100" s="5" t="n">
        <v>0</v>
      </c>
      <c r="P100" s="5" t="n">
        <v>30</v>
      </c>
      <c r="Q100" s="3" t="s">
        <v>43</v>
      </c>
      <c r="R100" s="3" t="s">
        <v>44</v>
      </c>
      <c r="S100" s="4" t="n">
        <f aca="false">IFERROR(N100-N(O100)-N(P100),"")</f>
        <v>450</v>
      </c>
      <c r="T100" s="5" t="n">
        <v>7272</v>
      </c>
      <c r="U100" s="5" t="n">
        <v>86</v>
      </c>
      <c r="V100" s="3" t="s">
        <v>45</v>
      </c>
      <c r="W100" s="5" t="n">
        <v>1200</v>
      </c>
      <c r="X100" s="5" t="n">
        <v>7871</v>
      </c>
      <c r="Y100" s="4" t="n">
        <f aca="false">IFERROR(T100/X100*100,"")</f>
        <v>92.3897852877652</v>
      </c>
      <c r="Z100" s="4" t="n">
        <f aca="false">IFERROR(S100/N100*100,"")</f>
        <v>93.75</v>
      </c>
      <c r="AA100" s="4" t="n">
        <f aca="false">IFERROR(T100/(W100*S100/60)*100,"")</f>
        <v>80.8</v>
      </c>
      <c r="AB100" s="4" t="n">
        <f aca="false">IFERROR(T100/(T100+U100)*100,"")</f>
        <v>98.8312041315575</v>
      </c>
      <c r="AC100" s="4" t="n">
        <f aca="false">IFERROR(Z100*AA100*AB100/10000,"")</f>
        <v>74.8646371296548</v>
      </c>
      <c r="AD100" s="3"/>
    </row>
    <row r="101" customFormat="false" ht="15" hidden="false" customHeight="false" outlineLevel="0" collapsed="false">
      <c r="A101" s="6" t="s">
        <v>178</v>
      </c>
      <c r="B101" s="6" t="s">
        <v>31</v>
      </c>
      <c r="C101" s="6" t="s">
        <v>67</v>
      </c>
      <c r="D101" s="6" t="s">
        <v>33</v>
      </c>
      <c r="E101" s="6" t="s">
        <v>34</v>
      </c>
      <c r="F101" s="6" t="s">
        <v>35</v>
      </c>
      <c r="G101" s="6" t="s">
        <v>186</v>
      </c>
      <c r="H101" s="6" t="s">
        <v>37</v>
      </c>
      <c r="I101" s="6" t="s">
        <v>182</v>
      </c>
      <c r="J101" s="6" t="s">
        <v>55</v>
      </c>
      <c r="K101" s="6" t="s">
        <v>56</v>
      </c>
      <c r="L101" s="6" t="s">
        <v>41</v>
      </c>
      <c r="M101" s="6" t="s">
        <v>42</v>
      </c>
      <c r="N101" s="7" t="n">
        <f aca="false">IFERROR(MOD(TIMEVALUE(M101)-TIMEVALUE(L101),1)*1440,"")</f>
        <v>480</v>
      </c>
      <c r="O101" s="8" t="n">
        <v>20</v>
      </c>
      <c r="P101" s="8" t="n">
        <v>20</v>
      </c>
      <c r="Q101" s="6" t="s">
        <v>74</v>
      </c>
      <c r="R101" s="6" t="s">
        <v>50</v>
      </c>
      <c r="S101" s="7" t="n">
        <f aca="false">IFERROR(N101-N(O101)-N(P101),"")</f>
        <v>440</v>
      </c>
      <c r="T101" s="8" t="n">
        <v>7424</v>
      </c>
      <c r="U101" s="8" t="n">
        <v>30</v>
      </c>
      <c r="V101" s="6" t="s">
        <v>45</v>
      </c>
      <c r="W101" s="8" t="n">
        <v>1200</v>
      </c>
      <c r="X101" s="8" t="n">
        <v>7871</v>
      </c>
      <c r="Y101" s="7" t="n">
        <f aca="false">IFERROR(T101/X101*100,"")</f>
        <v>94.3209249142422</v>
      </c>
      <c r="Z101" s="7" t="n">
        <f aca="false">IFERROR(S101/N101*100,"")</f>
        <v>91.6666666666667</v>
      </c>
      <c r="AA101" s="7" t="n">
        <f aca="false">IFERROR(T101/(W101*S101/60)*100,"")</f>
        <v>84.3636363636364</v>
      </c>
      <c r="AB101" s="7" t="n">
        <f aca="false">IFERROR(T101/(T101+U101)*100,"")</f>
        <v>99.5975315266971</v>
      </c>
      <c r="AC101" s="7" t="n">
        <f aca="false">IFERROR(Z101*AA101*AB101/10000,"")</f>
        <v>77.0220910473124</v>
      </c>
      <c r="AD101" s="6"/>
    </row>
    <row r="102" customFormat="false" ht="15" hidden="false" customHeight="false" outlineLevel="0" collapsed="false">
      <c r="A102" s="3" t="s">
        <v>178</v>
      </c>
      <c r="B102" s="3" t="s">
        <v>31</v>
      </c>
      <c r="C102" s="3" t="s">
        <v>99</v>
      </c>
      <c r="D102" s="3" t="s">
        <v>33</v>
      </c>
      <c r="E102" s="3" t="s">
        <v>46</v>
      </c>
      <c r="F102" s="3" t="s">
        <v>35</v>
      </c>
      <c r="G102" s="3" t="s">
        <v>187</v>
      </c>
      <c r="H102" s="3" t="s">
        <v>62</v>
      </c>
      <c r="I102" s="3"/>
      <c r="J102" s="3" t="s">
        <v>55</v>
      </c>
      <c r="K102" s="3" t="s">
        <v>56</v>
      </c>
      <c r="L102" s="3" t="s">
        <v>41</v>
      </c>
      <c r="M102" s="3" t="s">
        <v>42</v>
      </c>
      <c r="N102" s="4" t="n">
        <f aca="false">IFERROR(MOD(TIMEVALUE(M102)-TIMEVALUE(L102),1)*1440,"")</f>
        <v>480</v>
      </c>
      <c r="O102" s="5" t="n">
        <v>0</v>
      </c>
      <c r="P102" s="5" t="n">
        <v>45</v>
      </c>
      <c r="Q102" s="3" t="s">
        <v>97</v>
      </c>
      <c r="R102" s="3" t="s">
        <v>44</v>
      </c>
      <c r="S102" s="4" t="n">
        <f aca="false">IFERROR(N102-N(O102)-N(P102),"")</f>
        <v>435</v>
      </c>
      <c r="T102" s="5" t="n">
        <v>8606</v>
      </c>
      <c r="U102" s="5" t="n">
        <v>171</v>
      </c>
      <c r="V102" s="3" t="s">
        <v>45</v>
      </c>
      <c r="W102" s="5" t="n">
        <v>1200</v>
      </c>
      <c r="X102" s="5" t="n">
        <v>7871</v>
      </c>
      <c r="Y102" s="4" t="n">
        <f aca="false">IFERROR(T102/X102*100,"")</f>
        <v>109.338076483293</v>
      </c>
      <c r="Z102" s="4" t="n">
        <f aca="false">IFERROR(S102/N102*100,"")</f>
        <v>90.625</v>
      </c>
      <c r="AA102" s="4" t="n">
        <f aca="false">IFERROR(T102/(W102*S102/60)*100,"")</f>
        <v>98.9195402298851</v>
      </c>
      <c r="AB102" s="4" t="n">
        <f aca="false">IFERROR(T102/(T102+U102)*100,"")</f>
        <v>98.0517261023129</v>
      </c>
      <c r="AC102" s="4" t="n">
        <f aca="false">IFERROR(Z102*AA102*AB102/10000,"")</f>
        <v>87.8992869621359</v>
      </c>
      <c r="AD102" s="3"/>
    </row>
    <row r="103" customFormat="false" ht="15" hidden="false" customHeight="false" outlineLevel="0" collapsed="false">
      <c r="A103" s="6" t="s">
        <v>178</v>
      </c>
      <c r="B103" s="6" t="s">
        <v>31</v>
      </c>
      <c r="C103" s="6" t="s">
        <v>32</v>
      </c>
      <c r="D103" s="6" t="s">
        <v>33</v>
      </c>
      <c r="E103" s="6" t="s">
        <v>51</v>
      </c>
      <c r="F103" s="6" t="s">
        <v>52</v>
      </c>
      <c r="G103" s="6" t="s">
        <v>188</v>
      </c>
      <c r="H103" s="6" t="s">
        <v>62</v>
      </c>
      <c r="I103" s="6"/>
      <c r="J103" s="6" t="s">
        <v>55</v>
      </c>
      <c r="K103" s="6" t="s">
        <v>56</v>
      </c>
      <c r="L103" s="6" t="s">
        <v>41</v>
      </c>
      <c r="M103" s="6" t="s">
        <v>42</v>
      </c>
      <c r="N103" s="7" t="n">
        <f aca="false">IFERROR(MOD(TIMEVALUE(M103)-TIMEVALUE(L103),1)*1440,"")</f>
        <v>480</v>
      </c>
      <c r="O103" s="8" t="n">
        <v>20</v>
      </c>
      <c r="P103" s="8" t="n">
        <v>0</v>
      </c>
      <c r="Q103" s="6"/>
      <c r="R103" s="6"/>
      <c r="S103" s="7" t="n">
        <f aca="false">IFERROR(N103-N(O103)-N(P103),"")</f>
        <v>460</v>
      </c>
      <c r="T103" s="8" t="n">
        <v>8416</v>
      </c>
      <c r="U103" s="8" t="n">
        <v>86</v>
      </c>
      <c r="V103" s="6" t="s">
        <v>45</v>
      </c>
      <c r="W103" s="8" t="n">
        <v>1200</v>
      </c>
      <c r="X103" s="8" t="n">
        <v>7871</v>
      </c>
      <c r="Y103" s="7" t="n">
        <f aca="false">IFERROR(T103/X103*100,"")</f>
        <v>106.924151950197</v>
      </c>
      <c r="Z103" s="7" t="n">
        <f aca="false">IFERROR(S103/N103*100,"")</f>
        <v>95.8333333333333</v>
      </c>
      <c r="AA103" s="7" t="n">
        <f aca="false">IFERROR(T103/(W103*S103/60)*100,"")</f>
        <v>91.4782608695652</v>
      </c>
      <c r="AB103" s="7" t="n">
        <f aca="false">IFERROR(T103/(T103+U103)*100,"")</f>
        <v>98.9884733003999</v>
      </c>
      <c r="AC103" s="7" t="n">
        <f aca="false">IFERROR(Z103*AA103*AB103/10000,"")</f>
        <v>86.7798949266839</v>
      </c>
      <c r="AD103" s="6"/>
    </row>
    <row r="104" customFormat="false" ht="15" hidden="false" customHeight="false" outlineLevel="0" collapsed="false">
      <c r="A104" s="3" t="s">
        <v>178</v>
      </c>
      <c r="B104" s="3" t="s">
        <v>58</v>
      </c>
      <c r="C104" s="3" t="s">
        <v>67</v>
      </c>
      <c r="D104" s="3" t="s">
        <v>60</v>
      </c>
      <c r="E104" s="3" t="s">
        <v>34</v>
      </c>
      <c r="F104" s="3" t="s">
        <v>35</v>
      </c>
      <c r="G104" s="3" t="s">
        <v>189</v>
      </c>
      <c r="H104" s="3" t="s">
        <v>37</v>
      </c>
      <c r="I104" s="3" t="s">
        <v>175</v>
      </c>
      <c r="J104" s="3" t="s">
        <v>65</v>
      </c>
      <c r="K104" s="3" t="s">
        <v>66</v>
      </c>
      <c r="L104" s="3" t="s">
        <v>42</v>
      </c>
      <c r="M104" s="3" t="s">
        <v>63</v>
      </c>
      <c r="N104" s="4" t="n">
        <f aca="false">IFERROR(MOD(TIMEVALUE(M104)-TIMEVALUE(L104),1)*1440,"")</f>
        <v>480</v>
      </c>
      <c r="O104" s="5" t="n">
        <v>30</v>
      </c>
      <c r="P104" s="5" t="n">
        <v>45</v>
      </c>
      <c r="Q104" s="3" t="s">
        <v>74</v>
      </c>
      <c r="R104" s="3" t="s">
        <v>50</v>
      </c>
      <c r="S104" s="4" t="n">
        <f aca="false">IFERROR(N104-N(O104)-N(P104),"")</f>
        <v>405</v>
      </c>
      <c r="T104" s="5" t="n">
        <v>9180</v>
      </c>
      <c r="U104" s="5" t="n">
        <v>78</v>
      </c>
      <c r="V104" s="3" t="s">
        <v>45</v>
      </c>
      <c r="W104" s="5" t="n">
        <v>1400</v>
      </c>
      <c r="X104" s="5" t="n">
        <v>9184</v>
      </c>
      <c r="Y104" s="4" t="n">
        <f aca="false">IFERROR(T104/X104*100,"")</f>
        <v>99.9564459930314</v>
      </c>
      <c r="Z104" s="4" t="n">
        <f aca="false">IFERROR(S104/N104*100,"")</f>
        <v>84.375</v>
      </c>
      <c r="AA104" s="4" t="n">
        <f aca="false">IFERROR(T104/(W104*S104/60)*100,"")</f>
        <v>97.1428571428571</v>
      </c>
      <c r="AB104" s="4" t="n">
        <f aca="false">IFERROR(T104/(T104+U104)*100,"")</f>
        <v>99.1574854180169</v>
      </c>
      <c r="AC104" s="4" t="n">
        <f aca="false">IFERROR(Z104*AA104*AB104/10000,"")</f>
        <v>81.2737246551245</v>
      </c>
      <c r="AD104" s="3"/>
    </row>
    <row r="105" customFormat="false" ht="15" hidden="false" customHeight="false" outlineLevel="0" collapsed="false">
      <c r="A105" s="6" t="s">
        <v>178</v>
      </c>
      <c r="B105" s="6" t="s">
        <v>58</v>
      </c>
      <c r="C105" s="6" t="s">
        <v>59</v>
      </c>
      <c r="D105" s="6" t="s">
        <v>60</v>
      </c>
      <c r="E105" s="6" t="s">
        <v>46</v>
      </c>
      <c r="F105" s="6" t="s">
        <v>35</v>
      </c>
      <c r="G105" s="6" t="s">
        <v>190</v>
      </c>
      <c r="H105" s="6" t="s">
        <v>62</v>
      </c>
      <c r="I105" s="6"/>
      <c r="J105" s="6" t="s">
        <v>65</v>
      </c>
      <c r="K105" s="6" t="s">
        <v>66</v>
      </c>
      <c r="L105" s="6" t="s">
        <v>42</v>
      </c>
      <c r="M105" s="6" t="s">
        <v>63</v>
      </c>
      <c r="N105" s="7" t="n">
        <f aca="false">IFERROR(MOD(TIMEVALUE(M105)-TIMEVALUE(L105),1)*1440,"")</f>
        <v>480</v>
      </c>
      <c r="O105" s="8" t="n">
        <v>15</v>
      </c>
      <c r="P105" s="8" t="n">
        <v>0</v>
      </c>
      <c r="Q105" s="6"/>
      <c r="R105" s="6"/>
      <c r="S105" s="7" t="n">
        <f aca="false">IFERROR(N105-N(O105)-N(P105),"")</f>
        <v>465</v>
      </c>
      <c r="T105" s="8" t="n">
        <v>9481</v>
      </c>
      <c r="U105" s="8" t="n">
        <v>76</v>
      </c>
      <c r="V105" s="6" t="s">
        <v>45</v>
      </c>
      <c r="W105" s="8" t="n">
        <v>1400</v>
      </c>
      <c r="X105" s="8" t="n">
        <v>9184</v>
      </c>
      <c r="Y105" s="7" t="n">
        <f aca="false">IFERROR(T105/X105*100,"")</f>
        <v>103.233885017422</v>
      </c>
      <c r="Z105" s="7" t="n">
        <f aca="false">IFERROR(S105/N105*100,"")</f>
        <v>96.875</v>
      </c>
      <c r="AA105" s="7" t="n">
        <f aca="false">IFERROR(T105/(W105*S105/60)*100,"")</f>
        <v>87.3824884792627</v>
      </c>
      <c r="AB105" s="7" t="n">
        <f aca="false">IFERROR(T105/(T105+U105)*100,"")</f>
        <v>99.2047713717694</v>
      </c>
      <c r="AC105" s="7" t="n">
        <f aca="false">IFERROR(Z105*AA105*AB105/10000,"")</f>
        <v>83.9786104799773</v>
      </c>
      <c r="AD105" s="6"/>
    </row>
    <row r="106" customFormat="false" ht="15" hidden="false" customHeight="false" outlineLevel="0" collapsed="false">
      <c r="A106" s="3" t="s">
        <v>178</v>
      </c>
      <c r="B106" s="3" t="s">
        <v>58</v>
      </c>
      <c r="C106" s="3" t="s">
        <v>70</v>
      </c>
      <c r="D106" s="3" t="s">
        <v>60</v>
      </c>
      <c r="E106" s="3" t="s">
        <v>51</v>
      </c>
      <c r="F106" s="3" t="s">
        <v>52</v>
      </c>
      <c r="G106" s="3" t="s">
        <v>191</v>
      </c>
      <c r="H106" s="3" t="s">
        <v>62</v>
      </c>
      <c r="I106" s="3"/>
      <c r="J106" s="3" t="s">
        <v>65</v>
      </c>
      <c r="K106" s="3" t="s">
        <v>66</v>
      </c>
      <c r="L106" s="3" t="s">
        <v>42</v>
      </c>
      <c r="M106" s="3" t="s">
        <v>63</v>
      </c>
      <c r="N106" s="4" t="n">
        <f aca="false">IFERROR(MOD(TIMEVALUE(M106)-TIMEVALUE(L106),1)*1440,"")</f>
        <v>480</v>
      </c>
      <c r="O106" s="5" t="n">
        <v>15</v>
      </c>
      <c r="P106" s="5" t="n">
        <v>45</v>
      </c>
      <c r="Q106" s="3" t="s">
        <v>43</v>
      </c>
      <c r="R106" s="3" t="s">
        <v>44</v>
      </c>
      <c r="S106" s="4" t="n">
        <f aca="false">IFERROR(N106-N(O106)-N(P106),"")</f>
        <v>420</v>
      </c>
      <c r="T106" s="5" t="n">
        <v>9118</v>
      </c>
      <c r="U106" s="5" t="n">
        <v>273</v>
      </c>
      <c r="V106" s="3" t="s">
        <v>45</v>
      </c>
      <c r="W106" s="5" t="n">
        <v>1400</v>
      </c>
      <c r="X106" s="5" t="n">
        <v>9184</v>
      </c>
      <c r="Y106" s="4" t="n">
        <f aca="false">IFERROR(T106/X106*100,"")</f>
        <v>99.2813588850174</v>
      </c>
      <c r="Z106" s="4" t="n">
        <f aca="false">IFERROR(S106/N106*100,"")</f>
        <v>87.5</v>
      </c>
      <c r="AA106" s="4" t="n">
        <f aca="false">IFERROR(T106/(W106*S106/60)*100,"")</f>
        <v>93.0408163265306</v>
      </c>
      <c r="AB106" s="4" t="n">
        <f aca="false">IFERROR(T106/(T106+U106)*100,"")</f>
        <v>97.0929613459695</v>
      </c>
      <c r="AC106" s="4" t="n">
        <f aca="false">IFERROR(Z106*AA106*AB106/10000,"")</f>
        <v>79.0440733529063</v>
      </c>
      <c r="AD106" s="3"/>
    </row>
    <row r="107" customFormat="false" ht="15" hidden="false" customHeight="false" outlineLevel="0" collapsed="false">
      <c r="A107" s="6" t="s">
        <v>178</v>
      </c>
      <c r="B107" s="6" t="s">
        <v>69</v>
      </c>
      <c r="C107" s="6" t="s">
        <v>76</v>
      </c>
      <c r="D107" s="6" t="s">
        <v>71</v>
      </c>
      <c r="E107" s="6" t="s">
        <v>34</v>
      </c>
      <c r="F107" s="6" t="s">
        <v>35</v>
      </c>
      <c r="G107" s="6" t="s">
        <v>192</v>
      </c>
      <c r="H107" s="6" t="s">
        <v>37</v>
      </c>
      <c r="I107" s="6" t="s">
        <v>193</v>
      </c>
      <c r="J107" s="6" t="s">
        <v>39</v>
      </c>
      <c r="K107" s="6" t="s">
        <v>40</v>
      </c>
      <c r="L107" s="6" t="s">
        <v>63</v>
      </c>
      <c r="M107" s="6" t="s">
        <v>41</v>
      </c>
      <c r="N107" s="7" t="n">
        <f aca="false">IFERROR(MOD(TIMEVALUE(M107)-TIMEVALUE(L107),1)*1440,"")</f>
        <v>480</v>
      </c>
      <c r="O107" s="8" t="n">
        <v>0</v>
      </c>
      <c r="P107" s="8" t="n">
        <v>0</v>
      </c>
      <c r="Q107" s="6"/>
      <c r="R107" s="6"/>
      <c r="S107" s="7" t="n">
        <f aca="false">IFERROR(N107-N(O107)-N(P107),"")</f>
        <v>480</v>
      </c>
      <c r="T107" s="8" t="n">
        <v>7370</v>
      </c>
      <c r="U107" s="8" t="n">
        <v>580</v>
      </c>
      <c r="V107" s="6" t="s">
        <v>45</v>
      </c>
      <c r="W107" s="8" t="n">
        <v>950</v>
      </c>
      <c r="X107" s="8" t="n">
        <v>6232</v>
      </c>
      <c r="Y107" s="7" t="n">
        <f aca="false">IFERROR(T107/X107*100,"")</f>
        <v>118.260590500642</v>
      </c>
      <c r="Z107" s="7" t="n">
        <f aca="false">IFERROR(S107/N107*100,"")</f>
        <v>100</v>
      </c>
      <c r="AA107" s="7" t="n">
        <f aca="false">IFERROR(T107/(W107*S107/60)*100,"")</f>
        <v>96.9736842105263</v>
      </c>
      <c r="AB107" s="7" t="n">
        <f aca="false">IFERROR(T107/(T107+U107)*100,"")</f>
        <v>92.7044025157233</v>
      </c>
      <c r="AC107" s="7" t="n">
        <f aca="false">IFERROR(Z107*AA107*AB107/10000,"")</f>
        <v>89.8988745448527</v>
      </c>
      <c r="AD107" s="6"/>
    </row>
    <row r="108" customFormat="false" ht="15" hidden="false" customHeight="false" outlineLevel="0" collapsed="false">
      <c r="A108" s="3" t="s">
        <v>178</v>
      </c>
      <c r="B108" s="3" t="s">
        <v>69</v>
      </c>
      <c r="C108" s="3" t="s">
        <v>76</v>
      </c>
      <c r="D108" s="3" t="s">
        <v>71</v>
      </c>
      <c r="E108" s="3" t="s">
        <v>46</v>
      </c>
      <c r="F108" s="3" t="s">
        <v>35</v>
      </c>
      <c r="G108" s="3" t="s">
        <v>194</v>
      </c>
      <c r="H108" s="3" t="s">
        <v>37</v>
      </c>
      <c r="I108" s="3" t="s">
        <v>175</v>
      </c>
      <c r="J108" s="3" t="s">
        <v>65</v>
      </c>
      <c r="K108" s="3" t="s">
        <v>66</v>
      </c>
      <c r="L108" s="3" t="s">
        <v>63</v>
      </c>
      <c r="M108" s="3" t="s">
        <v>41</v>
      </c>
      <c r="N108" s="4" t="n">
        <f aca="false">IFERROR(MOD(TIMEVALUE(M108)-TIMEVALUE(L108),1)*1440,"")</f>
        <v>480</v>
      </c>
      <c r="O108" s="5" t="n">
        <v>15</v>
      </c>
      <c r="P108" s="5" t="n">
        <v>0</v>
      </c>
      <c r="Q108" s="3"/>
      <c r="R108" s="3"/>
      <c r="S108" s="4" t="n">
        <f aca="false">IFERROR(N108-N(O108)-N(P108),"")</f>
        <v>465</v>
      </c>
      <c r="T108" s="5" t="n">
        <v>8767</v>
      </c>
      <c r="U108" s="5" t="n">
        <v>524</v>
      </c>
      <c r="V108" s="3" t="s">
        <v>45</v>
      </c>
      <c r="W108" s="5" t="n">
        <v>1400</v>
      </c>
      <c r="X108" s="5" t="n">
        <v>9184</v>
      </c>
      <c r="Y108" s="4" t="n">
        <f aca="false">IFERROR(T108/X108*100,"")</f>
        <v>95.4594947735192</v>
      </c>
      <c r="Z108" s="4" t="n">
        <f aca="false">IFERROR(S108/N108*100,"")</f>
        <v>96.875</v>
      </c>
      <c r="AA108" s="4" t="n">
        <f aca="false">IFERROR(T108/(W108*S108/60)*100,"")</f>
        <v>80.8018433179723</v>
      </c>
      <c r="AB108" s="4" t="n">
        <f aca="false">IFERROR(T108/(T108+U108)*100,"")</f>
        <v>94.3601334624906</v>
      </c>
      <c r="AC108" s="4" t="n">
        <f aca="false">IFERROR(Z108*AA108*AB108/10000,"")</f>
        <v>73.8620794701477</v>
      </c>
      <c r="AD108" s="3"/>
    </row>
    <row r="109" customFormat="false" ht="15" hidden="false" customHeight="false" outlineLevel="0" collapsed="false">
      <c r="A109" s="6" t="s">
        <v>178</v>
      </c>
      <c r="B109" s="6" t="s">
        <v>69</v>
      </c>
      <c r="C109" s="6" t="s">
        <v>67</v>
      </c>
      <c r="D109" s="6" t="s">
        <v>71</v>
      </c>
      <c r="E109" s="6" t="s">
        <v>51</v>
      </c>
      <c r="F109" s="6" t="s">
        <v>52</v>
      </c>
      <c r="G109" s="6" t="s">
        <v>195</v>
      </c>
      <c r="H109" s="6" t="s">
        <v>62</v>
      </c>
      <c r="I109" s="6"/>
      <c r="J109" s="6" t="s">
        <v>65</v>
      </c>
      <c r="K109" s="6" t="s">
        <v>66</v>
      </c>
      <c r="L109" s="6" t="s">
        <v>63</v>
      </c>
      <c r="M109" s="6" t="s">
        <v>41</v>
      </c>
      <c r="N109" s="7" t="n">
        <f aca="false">IFERROR(MOD(TIMEVALUE(M109)-TIMEVALUE(L109),1)*1440,"")</f>
        <v>480</v>
      </c>
      <c r="O109" s="8" t="n">
        <v>45</v>
      </c>
      <c r="P109" s="8" t="n">
        <v>15</v>
      </c>
      <c r="Q109" s="6" t="s">
        <v>95</v>
      </c>
      <c r="R109" s="6" t="s">
        <v>50</v>
      </c>
      <c r="S109" s="7" t="n">
        <f aca="false">IFERROR(N109-N(O109)-N(P109),"")</f>
        <v>420</v>
      </c>
      <c r="T109" s="8" t="n">
        <v>8421</v>
      </c>
      <c r="U109" s="8" t="n">
        <v>237</v>
      </c>
      <c r="V109" s="6" t="s">
        <v>45</v>
      </c>
      <c r="W109" s="8" t="n">
        <v>1400</v>
      </c>
      <c r="X109" s="8" t="n">
        <v>9184</v>
      </c>
      <c r="Y109" s="7" t="n">
        <f aca="false">IFERROR(T109/X109*100,"")</f>
        <v>91.6920731707317</v>
      </c>
      <c r="Z109" s="7" t="n">
        <f aca="false">IFERROR(S109/N109*100,"")</f>
        <v>87.5</v>
      </c>
      <c r="AA109" s="7" t="n">
        <f aca="false">IFERROR(T109/(W109*S109/60)*100,"")</f>
        <v>85.9285714285714</v>
      </c>
      <c r="AB109" s="7" t="n">
        <f aca="false">IFERROR(T109/(T109+U109)*100,"")</f>
        <v>97.2626472626473</v>
      </c>
      <c r="AC109" s="7" t="n">
        <f aca="false">IFERROR(Z109*AA109*AB109/10000,"")</f>
        <v>73.1293529106029</v>
      </c>
      <c r="AD109" s="6"/>
    </row>
    <row r="110" customFormat="false" ht="15" hidden="false" customHeight="false" outlineLevel="0" collapsed="false">
      <c r="A110" s="3" t="s">
        <v>182</v>
      </c>
      <c r="B110" s="3" t="s">
        <v>31</v>
      </c>
      <c r="C110" s="3" t="s">
        <v>67</v>
      </c>
      <c r="D110" s="3" t="s">
        <v>33</v>
      </c>
      <c r="E110" s="3" t="s">
        <v>34</v>
      </c>
      <c r="F110" s="3" t="s">
        <v>35</v>
      </c>
      <c r="G110" s="3" t="s">
        <v>196</v>
      </c>
      <c r="H110" s="3" t="s">
        <v>37</v>
      </c>
      <c r="I110" s="3" t="s">
        <v>193</v>
      </c>
      <c r="J110" s="3" t="s">
        <v>55</v>
      </c>
      <c r="K110" s="3" t="s">
        <v>56</v>
      </c>
      <c r="L110" s="3" t="s">
        <v>41</v>
      </c>
      <c r="M110" s="3" t="s">
        <v>42</v>
      </c>
      <c r="N110" s="4" t="n">
        <f aca="false">IFERROR(MOD(TIMEVALUE(M110)-TIMEVALUE(L110),1)*1440,"")</f>
        <v>480</v>
      </c>
      <c r="O110" s="5" t="n">
        <v>20</v>
      </c>
      <c r="P110" s="5" t="n">
        <v>0</v>
      </c>
      <c r="Q110" s="3"/>
      <c r="R110" s="3"/>
      <c r="S110" s="4" t="n">
        <f aca="false">IFERROR(N110-N(O110)-N(P110),"")</f>
        <v>460</v>
      </c>
      <c r="T110" s="5" t="n">
        <v>8692</v>
      </c>
      <c r="U110" s="5" t="n">
        <v>123</v>
      </c>
      <c r="V110" s="3" t="s">
        <v>45</v>
      </c>
      <c r="W110" s="5" t="n">
        <v>1200</v>
      </c>
      <c r="X110" s="5" t="n">
        <v>7871</v>
      </c>
      <c r="Y110" s="4" t="n">
        <f aca="false">IFERROR(T110/X110*100,"")</f>
        <v>110.430694956168</v>
      </c>
      <c r="Z110" s="4" t="n">
        <f aca="false">IFERROR(S110/N110*100,"")</f>
        <v>95.8333333333333</v>
      </c>
      <c r="AA110" s="4" t="n">
        <f aca="false">IFERROR(T110/(W110*S110/60)*100,"")</f>
        <v>94.4782608695652</v>
      </c>
      <c r="AB110" s="4" t="n">
        <f aca="false">IFERROR(T110/(T110+U110)*100,"")</f>
        <v>98.6046511627907</v>
      </c>
      <c r="AC110" s="4" t="n">
        <f aca="false">IFERROR(Z110*AA110*AB110/10000,"")</f>
        <v>89.2782945736434</v>
      </c>
      <c r="AD110" s="3"/>
    </row>
    <row r="111" customFormat="false" ht="15" hidden="false" customHeight="false" outlineLevel="0" collapsed="false">
      <c r="A111" s="6" t="s">
        <v>182</v>
      </c>
      <c r="B111" s="6" t="s">
        <v>31</v>
      </c>
      <c r="C111" s="6" t="s">
        <v>70</v>
      </c>
      <c r="D111" s="6" t="s">
        <v>33</v>
      </c>
      <c r="E111" s="6" t="s">
        <v>46</v>
      </c>
      <c r="F111" s="6" t="s">
        <v>35</v>
      </c>
      <c r="G111" s="6" t="s">
        <v>197</v>
      </c>
      <c r="H111" s="6" t="s">
        <v>37</v>
      </c>
      <c r="I111" s="6" t="s">
        <v>198</v>
      </c>
      <c r="J111" s="6" t="s">
        <v>65</v>
      </c>
      <c r="K111" s="6" t="s">
        <v>66</v>
      </c>
      <c r="L111" s="6" t="s">
        <v>41</v>
      </c>
      <c r="M111" s="6" t="s">
        <v>42</v>
      </c>
      <c r="N111" s="7" t="n">
        <f aca="false">IFERROR(MOD(TIMEVALUE(M111)-TIMEVALUE(L111),1)*1440,"")</f>
        <v>480</v>
      </c>
      <c r="O111" s="8" t="n">
        <v>15</v>
      </c>
      <c r="P111" s="8" t="n">
        <v>0</v>
      </c>
      <c r="Q111" s="6"/>
      <c r="R111" s="6"/>
      <c r="S111" s="7" t="n">
        <f aca="false">IFERROR(N111-N(O111)-N(P111),"")</f>
        <v>465</v>
      </c>
      <c r="T111" s="8" t="n">
        <v>10517</v>
      </c>
      <c r="U111" s="8" t="n">
        <v>267</v>
      </c>
      <c r="V111" s="6" t="s">
        <v>45</v>
      </c>
      <c r="W111" s="8" t="n">
        <v>1400</v>
      </c>
      <c r="X111" s="8" t="n">
        <v>9184</v>
      </c>
      <c r="Y111" s="7" t="n">
        <f aca="false">IFERROR(T111/X111*100,"")</f>
        <v>114.5143728223</v>
      </c>
      <c r="Z111" s="7" t="n">
        <f aca="false">IFERROR(S111/N111*100,"")</f>
        <v>96.875</v>
      </c>
      <c r="AA111" s="7" t="n">
        <f aca="false">IFERROR(T111/(W111*S111/60)*100,"")</f>
        <v>96.9308755760369</v>
      </c>
      <c r="AB111" s="7" t="n">
        <f aca="false">IFERROR(T111/(T111+U111)*100,"")</f>
        <v>97.5241097922849</v>
      </c>
      <c r="AC111" s="7" t="n">
        <f aca="false">IFERROR(Z111*AA111*AB111/10000,"")</f>
        <v>91.5768805969161</v>
      </c>
      <c r="AD111" s="6"/>
    </row>
    <row r="112" customFormat="false" ht="15" hidden="false" customHeight="false" outlineLevel="0" collapsed="false">
      <c r="A112" s="3" t="s">
        <v>182</v>
      </c>
      <c r="B112" s="3" t="s">
        <v>31</v>
      </c>
      <c r="C112" s="3" t="s">
        <v>67</v>
      </c>
      <c r="D112" s="3" t="s">
        <v>33</v>
      </c>
      <c r="E112" s="3" t="s">
        <v>51</v>
      </c>
      <c r="F112" s="3" t="s">
        <v>52</v>
      </c>
      <c r="G112" s="3" t="s">
        <v>199</v>
      </c>
      <c r="H112" s="3" t="s">
        <v>62</v>
      </c>
      <c r="I112" s="3"/>
      <c r="J112" s="3" t="s">
        <v>65</v>
      </c>
      <c r="K112" s="3" t="s">
        <v>66</v>
      </c>
      <c r="L112" s="3" t="s">
        <v>41</v>
      </c>
      <c r="M112" s="3" t="s">
        <v>42</v>
      </c>
      <c r="N112" s="4" t="n">
        <f aca="false">IFERROR(MOD(TIMEVALUE(M112)-TIMEVALUE(L112),1)*1440,"")</f>
        <v>480</v>
      </c>
      <c r="O112" s="5" t="n">
        <v>0</v>
      </c>
      <c r="P112" s="5" t="n">
        <v>45</v>
      </c>
      <c r="Q112" s="3" t="s">
        <v>57</v>
      </c>
      <c r="R112" s="3" t="s">
        <v>50</v>
      </c>
      <c r="S112" s="4" t="n">
        <f aca="false">IFERROR(N112-N(O112)-N(P112),"")</f>
        <v>435</v>
      </c>
      <c r="T112" s="5" t="n">
        <v>8683</v>
      </c>
      <c r="U112" s="5" t="n">
        <v>218</v>
      </c>
      <c r="V112" s="3" t="s">
        <v>45</v>
      </c>
      <c r="W112" s="5" t="n">
        <v>1400</v>
      </c>
      <c r="X112" s="5" t="n">
        <v>9184</v>
      </c>
      <c r="Y112" s="4" t="n">
        <f aca="false">IFERROR(T112/X112*100,"")</f>
        <v>94.5448606271777</v>
      </c>
      <c r="Z112" s="4" t="n">
        <f aca="false">IFERROR(S112/N112*100,"")</f>
        <v>90.625</v>
      </c>
      <c r="AA112" s="4" t="n">
        <f aca="false">IFERROR(T112/(W112*S112/60)*100,"")</f>
        <v>85.5467980295566</v>
      </c>
      <c r="AB112" s="4" t="n">
        <f aca="false">IFERROR(T112/(T112+U112)*100,"")</f>
        <v>97.5508369846085</v>
      </c>
      <c r="AC112" s="4" t="n">
        <f aca="false">IFERROR(Z112*AA112*AB112/10000,"")</f>
        <v>75.6280283515496</v>
      </c>
      <c r="AD112" s="3"/>
    </row>
    <row r="113" customFormat="false" ht="15" hidden="false" customHeight="false" outlineLevel="0" collapsed="false">
      <c r="A113" s="6" t="s">
        <v>182</v>
      </c>
      <c r="B113" s="6" t="s">
        <v>58</v>
      </c>
      <c r="C113" s="6" t="s">
        <v>70</v>
      </c>
      <c r="D113" s="6" t="s">
        <v>60</v>
      </c>
      <c r="E113" s="6" t="s">
        <v>34</v>
      </c>
      <c r="F113" s="6" t="s">
        <v>35</v>
      </c>
      <c r="G113" s="6" t="s">
        <v>200</v>
      </c>
      <c r="H113" s="6" t="s">
        <v>37</v>
      </c>
      <c r="I113" s="6" t="s">
        <v>198</v>
      </c>
      <c r="J113" s="6" t="s">
        <v>39</v>
      </c>
      <c r="K113" s="6" t="s">
        <v>40</v>
      </c>
      <c r="L113" s="6" t="s">
        <v>42</v>
      </c>
      <c r="M113" s="6" t="s">
        <v>63</v>
      </c>
      <c r="N113" s="7" t="n">
        <f aca="false">IFERROR(MOD(TIMEVALUE(M113)-TIMEVALUE(L113),1)*1440,"")</f>
        <v>480</v>
      </c>
      <c r="O113" s="8" t="n">
        <v>0</v>
      </c>
      <c r="P113" s="8" t="n">
        <v>80</v>
      </c>
      <c r="Q113" s="6" t="s">
        <v>95</v>
      </c>
      <c r="R113" s="6" t="s">
        <v>50</v>
      </c>
      <c r="S113" s="7" t="n">
        <f aca="false">IFERROR(N113-N(O113)-N(P113),"")</f>
        <v>400</v>
      </c>
      <c r="T113" s="8" t="n">
        <v>5279</v>
      </c>
      <c r="U113" s="8" t="n">
        <v>103</v>
      </c>
      <c r="V113" s="6" t="s">
        <v>45</v>
      </c>
      <c r="W113" s="8" t="n">
        <v>950</v>
      </c>
      <c r="X113" s="8" t="n">
        <v>6232</v>
      </c>
      <c r="Y113" s="7" t="n">
        <f aca="false">IFERROR(T113/X113*100,"")</f>
        <v>84.7079589216945</v>
      </c>
      <c r="Z113" s="7" t="n">
        <f aca="false">IFERROR(S113/N113*100,"")</f>
        <v>83.3333333333333</v>
      </c>
      <c r="AA113" s="7" t="n">
        <f aca="false">IFERROR(T113/(W113*S113/60)*100,"")</f>
        <v>83.3526315789474</v>
      </c>
      <c r="AB113" s="7" t="n">
        <f aca="false">IFERROR(T113/(T113+U113)*100,"")</f>
        <v>98.0862133036046</v>
      </c>
      <c r="AC113" s="7" t="n">
        <f aca="false">IFERROR(Z113*AA113*AB113/10000,"")</f>
        <v>68.1312000039117</v>
      </c>
      <c r="AD113" s="6"/>
    </row>
    <row r="114" customFormat="false" ht="15" hidden="false" customHeight="false" outlineLevel="0" collapsed="false">
      <c r="A114" s="3" t="s">
        <v>182</v>
      </c>
      <c r="B114" s="3" t="s">
        <v>58</v>
      </c>
      <c r="C114" s="3" t="s">
        <v>76</v>
      </c>
      <c r="D114" s="3" t="s">
        <v>60</v>
      </c>
      <c r="E114" s="3" t="s">
        <v>46</v>
      </c>
      <c r="F114" s="3" t="s">
        <v>35</v>
      </c>
      <c r="G114" s="3" t="s">
        <v>201</v>
      </c>
      <c r="H114" s="3" t="s">
        <v>62</v>
      </c>
      <c r="I114" s="3"/>
      <c r="J114" s="3" t="s">
        <v>55</v>
      </c>
      <c r="K114" s="3" t="s">
        <v>56</v>
      </c>
      <c r="L114" s="3" t="s">
        <v>42</v>
      </c>
      <c r="M114" s="3" t="s">
        <v>63</v>
      </c>
      <c r="N114" s="4" t="n">
        <f aca="false">IFERROR(MOD(TIMEVALUE(M114)-TIMEVALUE(L114),1)*1440,"")</f>
        <v>480</v>
      </c>
      <c r="O114" s="5" t="n">
        <v>0</v>
      </c>
      <c r="P114" s="5" t="n">
        <v>15</v>
      </c>
      <c r="Q114" s="3" t="s">
        <v>202</v>
      </c>
      <c r="R114" s="3" t="s">
        <v>50</v>
      </c>
      <c r="S114" s="4" t="n">
        <f aca="false">IFERROR(N114-N(O114)-N(P114),"")</f>
        <v>465</v>
      </c>
      <c r="T114" s="5" t="n">
        <v>8124</v>
      </c>
      <c r="U114" s="5" t="n">
        <v>390</v>
      </c>
      <c r="V114" s="3" t="s">
        <v>45</v>
      </c>
      <c r="W114" s="5" t="n">
        <v>1200</v>
      </c>
      <c r="X114" s="5" t="n">
        <v>7871</v>
      </c>
      <c r="Y114" s="4" t="n">
        <f aca="false">IFERROR(T114/X114*100,"")</f>
        <v>103.214331088807</v>
      </c>
      <c r="Z114" s="4" t="n">
        <f aca="false">IFERROR(S114/N114*100,"")</f>
        <v>96.875</v>
      </c>
      <c r="AA114" s="4" t="n">
        <f aca="false">IFERROR(T114/(W114*S114/60)*100,"")</f>
        <v>87.3548387096774</v>
      </c>
      <c r="AB114" s="4" t="n">
        <f aca="false">IFERROR(T114/(T114+U114)*100,"")</f>
        <v>95.4193093727977</v>
      </c>
      <c r="AC114" s="4" t="n">
        <f aca="false">IFERROR(Z114*AA114*AB114/10000,"")</f>
        <v>80.7485905567301</v>
      </c>
      <c r="AD114" s="3"/>
    </row>
    <row r="115" customFormat="false" ht="15" hidden="false" customHeight="false" outlineLevel="0" collapsed="false">
      <c r="A115" s="6" t="s">
        <v>182</v>
      </c>
      <c r="B115" s="6" t="s">
        <v>58</v>
      </c>
      <c r="C115" s="6" t="s">
        <v>76</v>
      </c>
      <c r="D115" s="6" t="s">
        <v>60</v>
      </c>
      <c r="E115" s="6" t="s">
        <v>51</v>
      </c>
      <c r="F115" s="6" t="s">
        <v>52</v>
      </c>
      <c r="G115" s="6" t="s">
        <v>203</v>
      </c>
      <c r="H115" s="6" t="s">
        <v>37</v>
      </c>
      <c r="I115" s="6" t="s">
        <v>193</v>
      </c>
      <c r="J115" s="6" t="s">
        <v>65</v>
      </c>
      <c r="K115" s="6" t="s">
        <v>66</v>
      </c>
      <c r="L115" s="6" t="s">
        <v>42</v>
      </c>
      <c r="M115" s="6" t="s">
        <v>63</v>
      </c>
      <c r="N115" s="7" t="n">
        <f aca="false">IFERROR(MOD(TIMEVALUE(M115)-TIMEVALUE(L115),1)*1440,"")</f>
        <v>480</v>
      </c>
      <c r="O115" s="8" t="n">
        <v>20</v>
      </c>
      <c r="P115" s="8" t="n">
        <v>15</v>
      </c>
      <c r="Q115" s="6" t="s">
        <v>43</v>
      </c>
      <c r="R115" s="6" t="s">
        <v>44</v>
      </c>
      <c r="S115" s="7" t="n">
        <f aca="false">IFERROR(N115-N(O115)-N(P115),"")</f>
        <v>445</v>
      </c>
      <c r="T115" s="8" t="n">
        <v>9058</v>
      </c>
      <c r="U115" s="8" t="n">
        <v>386</v>
      </c>
      <c r="V115" s="6" t="s">
        <v>45</v>
      </c>
      <c r="W115" s="8" t="n">
        <v>1400</v>
      </c>
      <c r="X115" s="8" t="n">
        <v>9184</v>
      </c>
      <c r="Y115" s="7" t="n">
        <f aca="false">IFERROR(T115/X115*100,"")</f>
        <v>98.6280487804878</v>
      </c>
      <c r="Z115" s="7" t="n">
        <f aca="false">IFERROR(S115/N115*100,"")</f>
        <v>92.7083333333333</v>
      </c>
      <c r="AA115" s="7" t="n">
        <f aca="false">IFERROR(T115/(W115*S115/60)*100,"")</f>
        <v>87.2359550561798</v>
      </c>
      <c r="AB115" s="7" t="n">
        <f aca="false">IFERROR(T115/(T115+U115)*100,"")</f>
        <v>95.9127488352393</v>
      </c>
      <c r="AC115" s="7" t="n">
        <f aca="false">IFERROR(Z115*AA115*AB115/10000,"")</f>
        <v>77.5694356204998</v>
      </c>
      <c r="AD115" s="6"/>
    </row>
    <row r="116" customFormat="false" ht="15" hidden="false" customHeight="false" outlineLevel="0" collapsed="false">
      <c r="A116" s="3" t="s">
        <v>182</v>
      </c>
      <c r="B116" s="3" t="s">
        <v>69</v>
      </c>
      <c r="C116" s="3" t="s">
        <v>70</v>
      </c>
      <c r="D116" s="3" t="s">
        <v>71</v>
      </c>
      <c r="E116" s="3" t="s">
        <v>34</v>
      </c>
      <c r="F116" s="3" t="s">
        <v>35</v>
      </c>
      <c r="G116" s="3" t="s">
        <v>204</v>
      </c>
      <c r="H116" s="3" t="s">
        <v>37</v>
      </c>
      <c r="I116" s="3" t="s">
        <v>175</v>
      </c>
      <c r="J116" s="3" t="s">
        <v>39</v>
      </c>
      <c r="K116" s="3" t="s">
        <v>40</v>
      </c>
      <c r="L116" s="3" t="s">
        <v>63</v>
      </c>
      <c r="M116" s="3" t="s">
        <v>41</v>
      </c>
      <c r="N116" s="4" t="n">
        <f aca="false">IFERROR(MOD(TIMEVALUE(M116)-TIMEVALUE(L116),1)*1440,"")</f>
        <v>480</v>
      </c>
      <c r="O116" s="5" t="n">
        <v>45</v>
      </c>
      <c r="P116" s="5" t="n">
        <v>65</v>
      </c>
      <c r="Q116" s="3" t="s">
        <v>95</v>
      </c>
      <c r="R116" s="3" t="s">
        <v>50</v>
      </c>
      <c r="S116" s="4" t="n">
        <f aca="false">IFERROR(N116-N(O116)-N(P116),"")</f>
        <v>370</v>
      </c>
      <c r="T116" s="5" t="n">
        <v>4751</v>
      </c>
      <c r="U116" s="5" t="n">
        <v>39</v>
      </c>
      <c r="V116" s="3" t="s">
        <v>45</v>
      </c>
      <c r="W116" s="5" t="n">
        <v>950</v>
      </c>
      <c r="X116" s="5" t="n">
        <v>6232</v>
      </c>
      <c r="Y116" s="4" t="n">
        <f aca="false">IFERROR(T116/X116*100,"")</f>
        <v>76.2355584082157</v>
      </c>
      <c r="Z116" s="4" t="n">
        <f aca="false">IFERROR(S116/N116*100,"")</f>
        <v>77.0833333333333</v>
      </c>
      <c r="AA116" s="4" t="n">
        <f aca="false">IFERROR(T116/(W116*S116/60)*100,"")</f>
        <v>81.0981507823613</v>
      </c>
      <c r="AB116" s="4" t="n">
        <f aca="false">IFERROR(T116/(T116+U116)*100,"")</f>
        <v>99.1858037578288</v>
      </c>
      <c r="AC116" s="4" t="n">
        <f aca="false">IFERROR(Z116*AA116*AB116/10000,"")</f>
        <v>62.0041781122954</v>
      </c>
      <c r="AD116" s="3"/>
    </row>
    <row r="117" customFormat="false" ht="15" hidden="false" customHeight="false" outlineLevel="0" collapsed="false">
      <c r="A117" s="6" t="s">
        <v>182</v>
      </c>
      <c r="B117" s="6" t="s">
        <v>69</v>
      </c>
      <c r="C117" s="6" t="s">
        <v>67</v>
      </c>
      <c r="D117" s="6" t="s">
        <v>71</v>
      </c>
      <c r="E117" s="6" t="s">
        <v>46</v>
      </c>
      <c r="F117" s="6" t="s">
        <v>35</v>
      </c>
      <c r="G117" s="6" t="s">
        <v>205</v>
      </c>
      <c r="H117" s="6" t="s">
        <v>37</v>
      </c>
      <c r="I117" s="6" t="s">
        <v>175</v>
      </c>
      <c r="J117" s="6" t="s">
        <v>39</v>
      </c>
      <c r="K117" s="6" t="s">
        <v>40</v>
      </c>
      <c r="L117" s="6" t="s">
        <v>63</v>
      </c>
      <c r="M117" s="6" t="s">
        <v>41</v>
      </c>
      <c r="N117" s="7" t="n">
        <f aca="false">IFERROR(MOD(TIMEVALUE(M117)-TIMEVALUE(L117),1)*1440,"")</f>
        <v>480</v>
      </c>
      <c r="O117" s="8" t="n">
        <v>15</v>
      </c>
      <c r="P117" s="8" t="n">
        <v>0</v>
      </c>
      <c r="Q117" s="6"/>
      <c r="R117" s="6"/>
      <c r="S117" s="7" t="n">
        <f aca="false">IFERROR(N117-N(O117)-N(P117),"")</f>
        <v>465</v>
      </c>
      <c r="T117" s="8" t="n">
        <v>6637</v>
      </c>
      <c r="U117" s="8" t="n">
        <v>166</v>
      </c>
      <c r="V117" s="6" t="s">
        <v>45</v>
      </c>
      <c r="W117" s="8" t="n">
        <v>950</v>
      </c>
      <c r="X117" s="8" t="n">
        <v>6232</v>
      </c>
      <c r="Y117" s="7" t="n">
        <f aca="false">IFERROR(T117/X117*100,"")</f>
        <v>106.498716302953</v>
      </c>
      <c r="Z117" s="7" t="n">
        <f aca="false">IFERROR(S117/N117*100,"")</f>
        <v>96.875</v>
      </c>
      <c r="AA117" s="7" t="n">
        <f aca="false">IFERROR(T117/(W117*S117/60)*100,"")</f>
        <v>90.1460101867572</v>
      </c>
      <c r="AB117" s="7" t="n">
        <f aca="false">IFERROR(T117/(T117+U117)*100,"")</f>
        <v>97.5599000440982</v>
      </c>
      <c r="AC117" s="7" t="n">
        <f aca="false">IFERROR(Z117*AA117*AB117/10000,"")</f>
        <v>85.1980337621947</v>
      </c>
      <c r="AD117" s="6"/>
    </row>
    <row r="118" customFormat="false" ht="15" hidden="false" customHeight="false" outlineLevel="0" collapsed="false">
      <c r="A118" s="3" t="s">
        <v>182</v>
      </c>
      <c r="B118" s="3" t="s">
        <v>69</v>
      </c>
      <c r="C118" s="3" t="s">
        <v>76</v>
      </c>
      <c r="D118" s="3" t="s">
        <v>71</v>
      </c>
      <c r="E118" s="3" t="s">
        <v>51</v>
      </c>
      <c r="F118" s="3" t="s">
        <v>52</v>
      </c>
      <c r="G118" s="3" t="s">
        <v>206</v>
      </c>
      <c r="H118" s="3" t="s">
        <v>62</v>
      </c>
      <c r="I118" s="3"/>
      <c r="J118" s="3" t="s">
        <v>65</v>
      </c>
      <c r="K118" s="3" t="s">
        <v>66</v>
      </c>
      <c r="L118" s="3" t="s">
        <v>63</v>
      </c>
      <c r="M118" s="3" t="s">
        <v>41</v>
      </c>
      <c r="N118" s="4" t="n">
        <f aca="false">IFERROR(MOD(TIMEVALUE(M118)-TIMEVALUE(L118),1)*1440,"")</f>
        <v>480</v>
      </c>
      <c r="O118" s="5" t="n">
        <v>0</v>
      </c>
      <c r="P118" s="5" t="n">
        <v>30</v>
      </c>
      <c r="Q118" s="3" t="s">
        <v>43</v>
      </c>
      <c r="R118" s="3" t="s">
        <v>44</v>
      </c>
      <c r="S118" s="4" t="n">
        <f aca="false">IFERROR(N118-N(O118)-N(P118),"")</f>
        <v>450</v>
      </c>
      <c r="T118" s="5" t="n">
        <v>9333</v>
      </c>
      <c r="U118" s="5" t="n">
        <v>418</v>
      </c>
      <c r="V118" s="3" t="s">
        <v>45</v>
      </c>
      <c r="W118" s="5" t="n">
        <v>1400</v>
      </c>
      <c r="X118" s="5" t="n">
        <v>9184</v>
      </c>
      <c r="Y118" s="4" t="n">
        <f aca="false">IFERROR(T118/X118*100,"")</f>
        <v>101.622386759582</v>
      </c>
      <c r="Z118" s="4" t="n">
        <f aca="false">IFERROR(S118/N118*100,"")</f>
        <v>93.75</v>
      </c>
      <c r="AA118" s="4" t="n">
        <f aca="false">IFERROR(T118/(W118*S118/60)*100,"")</f>
        <v>88.8857142857143</v>
      </c>
      <c r="AB118" s="4" t="n">
        <f aca="false">IFERROR(T118/(T118+U118)*100,"")</f>
        <v>95.7132601784432</v>
      </c>
      <c r="AC118" s="4" t="n">
        <f aca="false">IFERROR(Z118*AA118*AB118/10000,"")</f>
        <v>79.7582015397688</v>
      </c>
      <c r="AD118" s="3"/>
    </row>
    <row r="119" customFormat="false" ht="15" hidden="false" customHeight="false" outlineLevel="0" collapsed="false">
      <c r="A119" s="6" t="s">
        <v>175</v>
      </c>
      <c r="B119" s="6" t="s">
        <v>31</v>
      </c>
      <c r="C119" s="6" t="s">
        <v>67</v>
      </c>
      <c r="D119" s="6" t="s">
        <v>33</v>
      </c>
      <c r="E119" s="6" t="s">
        <v>34</v>
      </c>
      <c r="F119" s="6" t="s">
        <v>35</v>
      </c>
      <c r="G119" s="6" t="s">
        <v>207</v>
      </c>
      <c r="H119" s="6" t="s">
        <v>62</v>
      </c>
      <c r="I119" s="6"/>
      <c r="J119" s="6" t="s">
        <v>55</v>
      </c>
      <c r="K119" s="6" t="s">
        <v>56</v>
      </c>
      <c r="L119" s="6" t="s">
        <v>41</v>
      </c>
      <c r="M119" s="6" t="s">
        <v>42</v>
      </c>
      <c r="N119" s="7" t="n">
        <f aca="false">IFERROR(MOD(TIMEVALUE(M119)-TIMEVALUE(L119),1)*1440,"")</f>
        <v>480</v>
      </c>
      <c r="O119" s="8" t="n">
        <v>0</v>
      </c>
      <c r="P119" s="8" t="n">
        <v>65</v>
      </c>
      <c r="Q119" s="6" t="s">
        <v>97</v>
      </c>
      <c r="R119" s="6" t="s">
        <v>44</v>
      </c>
      <c r="S119" s="7" t="n">
        <f aca="false">IFERROR(N119-N(O119)-N(P119),"")</f>
        <v>415</v>
      </c>
      <c r="T119" s="8" t="n">
        <v>7302</v>
      </c>
      <c r="U119" s="8" t="n">
        <v>189</v>
      </c>
      <c r="V119" s="6" t="s">
        <v>45</v>
      </c>
      <c r="W119" s="8" t="n">
        <v>1200</v>
      </c>
      <c r="X119" s="8" t="n">
        <v>7871</v>
      </c>
      <c r="Y119" s="7" t="n">
        <f aca="false">IFERROR(T119/X119*100,"")</f>
        <v>92.7709312666751</v>
      </c>
      <c r="Z119" s="7" t="n">
        <f aca="false">IFERROR(S119/N119*100,"")</f>
        <v>86.4583333333333</v>
      </c>
      <c r="AA119" s="7" t="n">
        <f aca="false">IFERROR(T119/(W119*S119/60)*100,"")</f>
        <v>87.9759036144578</v>
      </c>
      <c r="AB119" s="7" t="n">
        <f aca="false">IFERROR(T119/(T119+U119)*100,"")</f>
        <v>97.4769723668402</v>
      </c>
      <c r="AC119" s="7" t="n">
        <f aca="false">IFERROR(Z119*AA119*AB119/10000,"")</f>
        <v>74.1434221065279</v>
      </c>
      <c r="AD119" s="6"/>
    </row>
    <row r="120" customFormat="false" ht="15" hidden="false" customHeight="false" outlineLevel="0" collapsed="false">
      <c r="A120" s="3" t="s">
        <v>175</v>
      </c>
      <c r="B120" s="3" t="s">
        <v>31</v>
      </c>
      <c r="C120" s="3" t="s">
        <v>70</v>
      </c>
      <c r="D120" s="3" t="s">
        <v>33</v>
      </c>
      <c r="E120" s="3" t="s">
        <v>46</v>
      </c>
      <c r="F120" s="3" t="s">
        <v>35</v>
      </c>
      <c r="G120" s="3" t="s">
        <v>208</v>
      </c>
      <c r="H120" s="3" t="s">
        <v>37</v>
      </c>
      <c r="I120" s="3" t="s">
        <v>198</v>
      </c>
      <c r="J120" s="3" t="s">
        <v>39</v>
      </c>
      <c r="K120" s="3" t="s">
        <v>40</v>
      </c>
      <c r="L120" s="3" t="s">
        <v>41</v>
      </c>
      <c r="M120" s="3" t="s">
        <v>42</v>
      </c>
      <c r="N120" s="4" t="n">
        <f aca="false">IFERROR(MOD(TIMEVALUE(M120)-TIMEVALUE(L120),1)*1440,"")</f>
        <v>480</v>
      </c>
      <c r="O120" s="5" t="n">
        <v>0</v>
      </c>
      <c r="P120" s="5" t="n">
        <v>45</v>
      </c>
      <c r="Q120" s="3" t="s">
        <v>74</v>
      </c>
      <c r="R120" s="3" t="s">
        <v>50</v>
      </c>
      <c r="S120" s="4" t="n">
        <f aca="false">IFERROR(N120-N(O120)-N(P120),"")</f>
        <v>435</v>
      </c>
      <c r="T120" s="5" t="n">
        <v>5945</v>
      </c>
      <c r="U120" s="5" t="n">
        <v>56</v>
      </c>
      <c r="V120" s="3" t="s">
        <v>45</v>
      </c>
      <c r="W120" s="5" t="n">
        <v>950</v>
      </c>
      <c r="X120" s="5" t="n">
        <v>6232</v>
      </c>
      <c r="Y120" s="4" t="n">
        <f aca="false">IFERROR(T120/X120*100,"")</f>
        <v>95.3947368421053</v>
      </c>
      <c r="Z120" s="4" t="n">
        <f aca="false">IFERROR(S120/N120*100,"")</f>
        <v>90.625</v>
      </c>
      <c r="AA120" s="4" t="n">
        <f aca="false">IFERROR(T120/(W120*S120/60)*100,"")</f>
        <v>86.3157894736842</v>
      </c>
      <c r="AB120" s="4" t="n">
        <f aca="false">IFERROR(T120/(T120+U120)*100,"")</f>
        <v>99.0668221963006</v>
      </c>
      <c r="AC120" s="4" t="n">
        <f aca="false">IFERROR(Z120*AA120*AB120/10000,"")</f>
        <v>77.4937181522378</v>
      </c>
      <c r="AD120" s="3"/>
    </row>
    <row r="121" customFormat="false" ht="15" hidden="false" customHeight="false" outlineLevel="0" collapsed="false">
      <c r="A121" s="6" t="s">
        <v>175</v>
      </c>
      <c r="B121" s="6" t="s">
        <v>31</v>
      </c>
      <c r="C121" s="6" t="s">
        <v>76</v>
      </c>
      <c r="D121" s="6" t="s">
        <v>33</v>
      </c>
      <c r="E121" s="6" t="s">
        <v>51</v>
      </c>
      <c r="F121" s="6" t="s">
        <v>52</v>
      </c>
      <c r="G121" s="6" t="s">
        <v>209</v>
      </c>
      <c r="H121" s="6" t="s">
        <v>37</v>
      </c>
      <c r="I121" s="6" t="s">
        <v>198</v>
      </c>
      <c r="J121" s="6" t="s">
        <v>39</v>
      </c>
      <c r="K121" s="6" t="s">
        <v>40</v>
      </c>
      <c r="L121" s="6" t="s">
        <v>41</v>
      </c>
      <c r="M121" s="6" t="s">
        <v>42</v>
      </c>
      <c r="N121" s="7" t="n">
        <f aca="false">IFERROR(MOD(TIMEVALUE(M121)-TIMEVALUE(L121),1)*1440,"")</f>
        <v>480</v>
      </c>
      <c r="O121" s="8" t="n">
        <v>20</v>
      </c>
      <c r="P121" s="8" t="n">
        <v>20</v>
      </c>
      <c r="Q121" s="6" t="s">
        <v>74</v>
      </c>
      <c r="R121" s="6" t="s">
        <v>50</v>
      </c>
      <c r="S121" s="7" t="n">
        <f aca="false">IFERROR(N121-N(O121)-N(P121),"")</f>
        <v>440</v>
      </c>
      <c r="T121" s="8" t="n">
        <v>6385</v>
      </c>
      <c r="U121" s="8" t="n">
        <v>463</v>
      </c>
      <c r="V121" s="6" t="s">
        <v>45</v>
      </c>
      <c r="W121" s="8" t="n">
        <v>950</v>
      </c>
      <c r="X121" s="8" t="n">
        <v>6232</v>
      </c>
      <c r="Y121" s="7" t="n">
        <f aca="false">IFERROR(T121/X121*100,"")</f>
        <v>102.455070603338</v>
      </c>
      <c r="Z121" s="7" t="n">
        <f aca="false">IFERROR(S121/N121*100,"")</f>
        <v>91.6666666666667</v>
      </c>
      <c r="AA121" s="7" t="n">
        <f aca="false">IFERROR(T121/(W121*S121/60)*100,"")</f>
        <v>91.6507177033493</v>
      </c>
      <c r="AB121" s="7" t="n">
        <f aca="false">IFERROR(T121/(T121+U121)*100,"")</f>
        <v>93.2389018691589</v>
      </c>
      <c r="AC121" s="7" t="n">
        <f aca="false">IFERROR(Z121*AA121*AB121/10000,"")</f>
        <v>78.3329458466552</v>
      </c>
      <c r="AD121" s="6"/>
    </row>
    <row r="122" customFormat="false" ht="15" hidden="false" customHeight="false" outlineLevel="0" collapsed="false">
      <c r="A122" s="3" t="s">
        <v>175</v>
      </c>
      <c r="B122" s="3" t="s">
        <v>58</v>
      </c>
      <c r="C122" s="3" t="s">
        <v>59</v>
      </c>
      <c r="D122" s="3" t="s">
        <v>60</v>
      </c>
      <c r="E122" s="3" t="s">
        <v>34</v>
      </c>
      <c r="F122" s="3" t="s">
        <v>35</v>
      </c>
      <c r="G122" s="3" t="s">
        <v>210</v>
      </c>
      <c r="H122" s="3" t="s">
        <v>37</v>
      </c>
      <c r="I122" s="3" t="s">
        <v>198</v>
      </c>
      <c r="J122" s="3" t="s">
        <v>39</v>
      </c>
      <c r="K122" s="3" t="s">
        <v>40</v>
      </c>
      <c r="L122" s="3" t="s">
        <v>42</v>
      </c>
      <c r="M122" s="3" t="s">
        <v>63</v>
      </c>
      <c r="N122" s="4" t="n">
        <f aca="false">IFERROR(MOD(TIMEVALUE(M122)-TIMEVALUE(L122),1)*1440,"")</f>
        <v>480</v>
      </c>
      <c r="O122" s="5" t="n">
        <v>15</v>
      </c>
      <c r="P122" s="5" t="n">
        <v>0</v>
      </c>
      <c r="Q122" s="3"/>
      <c r="R122" s="3"/>
      <c r="S122" s="4" t="n">
        <f aca="false">IFERROR(N122-N(O122)-N(P122),"")</f>
        <v>465</v>
      </c>
      <c r="T122" s="5" t="n">
        <v>5906</v>
      </c>
      <c r="U122" s="5" t="n">
        <v>149</v>
      </c>
      <c r="V122" s="3" t="s">
        <v>45</v>
      </c>
      <c r="W122" s="5" t="n">
        <v>950</v>
      </c>
      <c r="X122" s="5" t="n">
        <v>6232</v>
      </c>
      <c r="Y122" s="4" t="n">
        <f aca="false">IFERROR(T122/X122*100,"")</f>
        <v>94.7689345314506</v>
      </c>
      <c r="Z122" s="4" t="n">
        <f aca="false">IFERROR(S122/N122*100,"")</f>
        <v>96.875</v>
      </c>
      <c r="AA122" s="4" t="n">
        <f aca="false">IFERROR(T122/(W122*S122/60)*100,"")</f>
        <v>80.2173174872665</v>
      </c>
      <c r="AB122" s="4" t="n">
        <f aca="false">IFERROR(T122/(T122+U122)*100,"")</f>
        <v>97.5392237819983</v>
      </c>
      <c r="AC122" s="4" t="n">
        <f aca="false">IFERROR(Z122*AA122*AB122/10000,"")</f>
        <v>75.7982441653266</v>
      </c>
      <c r="AD122" s="3"/>
    </row>
    <row r="123" customFormat="false" ht="15" hidden="false" customHeight="false" outlineLevel="0" collapsed="false">
      <c r="A123" s="6" t="s">
        <v>175</v>
      </c>
      <c r="B123" s="6" t="s">
        <v>58</v>
      </c>
      <c r="C123" s="6" t="s">
        <v>99</v>
      </c>
      <c r="D123" s="6" t="s">
        <v>60</v>
      </c>
      <c r="E123" s="6" t="s">
        <v>46</v>
      </c>
      <c r="F123" s="6" t="s">
        <v>35</v>
      </c>
      <c r="G123" s="6" t="s">
        <v>211</v>
      </c>
      <c r="H123" s="6" t="s">
        <v>37</v>
      </c>
      <c r="I123" s="6" t="s">
        <v>193</v>
      </c>
      <c r="J123" s="6" t="s">
        <v>39</v>
      </c>
      <c r="K123" s="6" t="s">
        <v>40</v>
      </c>
      <c r="L123" s="6" t="s">
        <v>42</v>
      </c>
      <c r="M123" s="6" t="s">
        <v>63</v>
      </c>
      <c r="N123" s="7" t="n">
        <f aca="false">IFERROR(MOD(TIMEVALUE(M123)-TIMEVALUE(L123),1)*1440,"")</f>
        <v>480</v>
      </c>
      <c r="O123" s="8" t="n">
        <v>0</v>
      </c>
      <c r="P123" s="8" t="n">
        <v>15</v>
      </c>
      <c r="Q123" s="6" t="s">
        <v>74</v>
      </c>
      <c r="R123" s="6" t="s">
        <v>50</v>
      </c>
      <c r="S123" s="7" t="n">
        <f aca="false">IFERROR(N123-N(O123)-N(P123),"")</f>
        <v>465</v>
      </c>
      <c r="T123" s="8" t="n">
        <v>6635</v>
      </c>
      <c r="U123" s="8" t="n">
        <v>190</v>
      </c>
      <c r="V123" s="6" t="s">
        <v>45</v>
      </c>
      <c r="W123" s="8" t="n">
        <v>950</v>
      </c>
      <c r="X123" s="8" t="n">
        <v>6232</v>
      </c>
      <c r="Y123" s="7" t="n">
        <f aca="false">IFERROR(T123/X123*100,"")</f>
        <v>106.466623876765</v>
      </c>
      <c r="Z123" s="7" t="n">
        <f aca="false">IFERROR(S123/N123*100,"")</f>
        <v>96.875</v>
      </c>
      <c r="AA123" s="7" t="n">
        <f aca="false">IFERROR(T123/(W123*S123/60)*100,"")</f>
        <v>90.1188455008489</v>
      </c>
      <c r="AB123" s="7" t="n">
        <f aca="false">IFERROR(T123/(T123+U123)*100,"")</f>
        <v>97.2161172161172</v>
      </c>
      <c r="AC123" s="7" t="n">
        <f aca="false">IFERROR(Z123*AA123*AB123/10000,"")</f>
        <v>84.8722286485444</v>
      </c>
      <c r="AD123" s="6"/>
    </row>
    <row r="124" customFormat="false" ht="15" hidden="false" customHeight="false" outlineLevel="0" collapsed="false">
      <c r="A124" s="3" t="s">
        <v>175</v>
      </c>
      <c r="B124" s="3" t="s">
        <v>58</v>
      </c>
      <c r="C124" s="3" t="s">
        <v>67</v>
      </c>
      <c r="D124" s="3" t="s">
        <v>60</v>
      </c>
      <c r="E124" s="3" t="s">
        <v>51</v>
      </c>
      <c r="F124" s="3" t="s">
        <v>52</v>
      </c>
      <c r="G124" s="3" t="s">
        <v>212</v>
      </c>
      <c r="H124" s="3" t="s">
        <v>37</v>
      </c>
      <c r="I124" s="3" t="s">
        <v>198</v>
      </c>
      <c r="J124" s="3" t="s">
        <v>65</v>
      </c>
      <c r="K124" s="3" t="s">
        <v>66</v>
      </c>
      <c r="L124" s="3" t="s">
        <v>42</v>
      </c>
      <c r="M124" s="3" t="s">
        <v>63</v>
      </c>
      <c r="N124" s="4" t="n">
        <f aca="false">IFERROR(MOD(TIMEVALUE(M124)-TIMEVALUE(L124),1)*1440,"")</f>
        <v>480</v>
      </c>
      <c r="O124" s="5" t="n">
        <v>0</v>
      </c>
      <c r="P124" s="5" t="n">
        <v>30</v>
      </c>
      <c r="Q124" s="3" t="s">
        <v>97</v>
      </c>
      <c r="R124" s="3" t="s">
        <v>44</v>
      </c>
      <c r="S124" s="4" t="n">
        <f aca="false">IFERROR(N124-N(O124)-N(P124),"")</f>
        <v>450</v>
      </c>
      <c r="T124" s="5" t="n">
        <v>8485</v>
      </c>
      <c r="U124" s="5" t="n">
        <v>53</v>
      </c>
      <c r="V124" s="3" t="s">
        <v>45</v>
      </c>
      <c r="W124" s="5" t="n">
        <v>1400</v>
      </c>
      <c r="X124" s="5" t="n">
        <v>9184</v>
      </c>
      <c r="Y124" s="4" t="n">
        <f aca="false">IFERROR(T124/X124*100,"")</f>
        <v>92.38893728223</v>
      </c>
      <c r="Z124" s="4" t="n">
        <f aca="false">IFERROR(S124/N124*100,"")</f>
        <v>93.75</v>
      </c>
      <c r="AA124" s="4" t="n">
        <f aca="false">IFERROR(T124/(W124*S124/60)*100,"")</f>
        <v>80.8095238095238</v>
      </c>
      <c r="AB124" s="4" t="n">
        <f aca="false">IFERROR(T124/(T124+U124)*100,"")</f>
        <v>99.3792457249942</v>
      </c>
      <c r="AC124" s="4" t="n">
        <f aca="false">IFERROR(Z124*AA124*AB124/10000,"")</f>
        <v>75.2886517836228</v>
      </c>
      <c r="AD124" s="3"/>
    </row>
    <row r="125" customFormat="false" ht="15" hidden="false" customHeight="false" outlineLevel="0" collapsed="false">
      <c r="A125" s="6" t="s">
        <v>175</v>
      </c>
      <c r="B125" s="6" t="s">
        <v>69</v>
      </c>
      <c r="C125" s="6" t="s">
        <v>99</v>
      </c>
      <c r="D125" s="6" t="s">
        <v>71</v>
      </c>
      <c r="E125" s="6" t="s">
        <v>34</v>
      </c>
      <c r="F125" s="6" t="s">
        <v>35</v>
      </c>
      <c r="G125" s="6" t="s">
        <v>213</v>
      </c>
      <c r="H125" s="6" t="s">
        <v>37</v>
      </c>
      <c r="I125" s="6" t="s">
        <v>193</v>
      </c>
      <c r="J125" s="6" t="s">
        <v>39</v>
      </c>
      <c r="K125" s="6" t="s">
        <v>40</v>
      </c>
      <c r="L125" s="6" t="s">
        <v>63</v>
      </c>
      <c r="M125" s="6" t="s">
        <v>41</v>
      </c>
      <c r="N125" s="7" t="n">
        <f aca="false">IFERROR(MOD(TIMEVALUE(M125)-TIMEVALUE(L125),1)*1440,"")</f>
        <v>480</v>
      </c>
      <c r="O125" s="8" t="n">
        <v>30</v>
      </c>
      <c r="P125" s="8" t="n">
        <v>0</v>
      </c>
      <c r="Q125" s="6"/>
      <c r="R125" s="6"/>
      <c r="S125" s="7" t="n">
        <f aca="false">IFERROR(N125-N(O125)-N(P125),"")</f>
        <v>450</v>
      </c>
      <c r="T125" s="8" t="n">
        <v>5865</v>
      </c>
      <c r="U125" s="8" t="n">
        <v>83</v>
      </c>
      <c r="V125" s="6" t="s">
        <v>45</v>
      </c>
      <c r="W125" s="8" t="n">
        <v>950</v>
      </c>
      <c r="X125" s="8" t="n">
        <v>6232</v>
      </c>
      <c r="Y125" s="7" t="n">
        <f aca="false">IFERROR(T125/X125*100,"")</f>
        <v>94.1110397946085</v>
      </c>
      <c r="Z125" s="7" t="n">
        <f aca="false">IFERROR(S125/N125*100,"")</f>
        <v>93.75</v>
      </c>
      <c r="AA125" s="7" t="n">
        <f aca="false">IFERROR(T125/(W125*S125/60)*100,"")</f>
        <v>82.3157894736842</v>
      </c>
      <c r="AB125" s="7" t="n">
        <f aca="false">IFERROR(T125/(T125+U125)*100,"")</f>
        <v>98.6045729657028</v>
      </c>
      <c r="AC125" s="7" t="n">
        <f aca="false">IFERROR(Z125*AA125*AB125/10000,"")</f>
        <v>76.0941869005061</v>
      </c>
      <c r="AD125" s="6"/>
    </row>
    <row r="126" customFormat="false" ht="15" hidden="false" customHeight="false" outlineLevel="0" collapsed="false">
      <c r="A126" s="3" t="s">
        <v>175</v>
      </c>
      <c r="B126" s="3" t="s">
        <v>69</v>
      </c>
      <c r="C126" s="3" t="s">
        <v>70</v>
      </c>
      <c r="D126" s="3" t="s">
        <v>71</v>
      </c>
      <c r="E126" s="3" t="s">
        <v>46</v>
      </c>
      <c r="F126" s="3" t="s">
        <v>35</v>
      </c>
      <c r="G126" s="3" t="s">
        <v>214</v>
      </c>
      <c r="H126" s="3" t="s">
        <v>62</v>
      </c>
      <c r="I126" s="3"/>
      <c r="J126" s="3" t="s">
        <v>55</v>
      </c>
      <c r="K126" s="3" t="s">
        <v>56</v>
      </c>
      <c r="L126" s="3" t="s">
        <v>63</v>
      </c>
      <c r="M126" s="3" t="s">
        <v>41</v>
      </c>
      <c r="N126" s="4" t="n">
        <f aca="false">IFERROR(MOD(TIMEVALUE(M126)-TIMEVALUE(L126),1)*1440,"")</f>
        <v>480</v>
      </c>
      <c r="O126" s="5" t="n">
        <v>0</v>
      </c>
      <c r="P126" s="5" t="n">
        <v>90</v>
      </c>
      <c r="Q126" s="3" t="s">
        <v>79</v>
      </c>
      <c r="R126" s="3" t="s">
        <v>50</v>
      </c>
      <c r="S126" s="4" t="n">
        <f aca="false">IFERROR(N126-N(O126)-N(P126),"")</f>
        <v>390</v>
      </c>
      <c r="T126" s="5" t="n">
        <v>6675</v>
      </c>
      <c r="U126" s="5" t="n">
        <v>167</v>
      </c>
      <c r="V126" s="3" t="s">
        <v>45</v>
      </c>
      <c r="W126" s="5" t="n">
        <v>1200</v>
      </c>
      <c r="X126" s="5" t="n">
        <v>7871</v>
      </c>
      <c r="Y126" s="4" t="n">
        <f aca="false">IFERROR(T126/X126*100,"")</f>
        <v>84.8049803074578</v>
      </c>
      <c r="Z126" s="4" t="n">
        <f aca="false">IFERROR(S126/N126*100,"")</f>
        <v>81.25</v>
      </c>
      <c r="AA126" s="4" t="n">
        <f aca="false">IFERROR(T126/(W126*S126/60)*100,"")</f>
        <v>85.5769230769231</v>
      </c>
      <c r="AB126" s="4" t="n">
        <f aca="false">IFERROR(T126/(T126+U126)*100,"")</f>
        <v>97.5591932183572</v>
      </c>
      <c r="AC126" s="4" t="n">
        <f aca="false">IFERROR(Z126*AA126*AB126/10000,"")</f>
        <v>67.834126534639</v>
      </c>
      <c r="AD126" s="3"/>
    </row>
    <row r="127" customFormat="false" ht="15" hidden="false" customHeight="false" outlineLevel="0" collapsed="false">
      <c r="A127" s="6" t="s">
        <v>175</v>
      </c>
      <c r="B127" s="6" t="s">
        <v>69</v>
      </c>
      <c r="C127" s="6" t="s">
        <v>67</v>
      </c>
      <c r="D127" s="6" t="s">
        <v>71</v>
      </c>
      <c r="E127" s="6" t="s">
        <v>51</v>
      </c>
      <c r="F127" s="6" t="s">
        <v>52</v>
      </c>
      <c r="G127" s="6" t="s">
        <v>215</v>
      </c>
      <c r="H127" s="6" t="s">
        <v>62</v>
      </c>
      <c r="I127" s="6"/>
      <c r="J127" s="6" t="s">
        <v>39</v>
      </c>
      <c r="K127" s="6" t="s">
        <v>40</v>
      </c>
      <c r="L127" s="6" t="s">
        <v>63</v>
      </c>
      <c r="M127" s="6" t="s">
        <v>41</v>
      </c>
      <c r="N127" s="7" t="n">
        <f aca="false">IFERROR(MOD(TIMEVALUE(M127)-TIMEVALUE(L127),1)*1440,"")</f>
        <v>480</v>
      </c>
      <c r="O127" s="8" t="n">
        <v>20</v>
      </c>
      <c r="P127" s="8" t="n">
        <v>45</v>
      </c>
      <c r="Q127" s="6" t="s">
        <v>97</v>
      </c>
      <c r="R127" s="6" t="s">
        <v>44</v>
      </c>
      <c r="S127" s="7" t="n">
        <f aca="false">IFERROR(N127-N(O127)-N(P127),"")</f>
        <v>415</v>
      </c>
      <c r="T127" s="8" t="n">
        <v>5383</v>
      </c>
      <c r="U127" s="8" t="n">
        <v>56</v>
      </c>
      <c r="V127" s="6" t="s">
        <v>45</v>
      </c>
      <c r="W127" s="8" t="n">
        <v>950</v>
      </c>
      <c r="X127" s="8" t="n">
        <v>6232</v>
      </c>
      <c r="Y127" s="7" t="n">
        <f aca="false">IFERROR(T127/X127*100,"")</f>
        <v>86.3767650834403</v>
      </c>
      <c r="Z127" s="7" t="n">
        <f aca="false">IFERROR(S127/N127*100,"")</f>
        <v>86.4583333333333</v>
      </c>
      <c r="AA127" s="7" t="n">
        <f aca="false">IFERROR(T127/(W127*S127/60)*100,"")</f>
        <v>81.9226379201015</v>
      </c>
      <c r="AB127" s="7" t="n">
        <f aca="false">IFERROR(T127/(T127+U127)*100,"")</f>
        <v>98.970398970399</v>
      </c>
      <c r="AC127" s="7" t="n">
        <f aca="false">IFERROR(Z127*AA127*AB127/10000,"")</f>
        <v>70.0996917970602</v>
      </c>
      <c r="AD127" s="6"/>
    </row>
    <row r="128" customFormat="false" ht="15" hidden="false" customHeight="false" outlineLevel="0" collapsed="false">
      <c r="A128" s="3" t="s">
        <v>193</v>
      </c>
      <c r="B128" s="3" t="s">
        <v>31</v>
      </c>
      <c r="C128" s="3" t="s">
        <v>59</v>
      </c>
      <c r="D128" s="3" t="s">
        <v>33</v>
      </c>
      <c r="E128" s="3" t="s">
        <v>34</v>
      </c>
      <c r="F128" s="3" t="s">
        <v>35</v>
      </c>
      <c r="G128" s="3" t="s">
        <v>216</v>
      </c>
      <c r="H128" s="3" t="s">
        <v>37</v>
      </c>
      <c r="I128" s="3" t="s">
        <v>217</v>
      </c>
      <c r="J128" s="3" t="s">
        <v>65</v>
      </c>
      <c r="K128" s="3" t="s">
        <v>66</v>
      </c>
      <c r="L128" s="3" t="s">
        <v>41</v>
      </c>
      <c r="M128" s="3" t="s">
        <v>42</v>
      </c>
      <c r="N128" s="4" t="n">
        <f aca="false">IFERROR(MOD(TIMEVALUE(M128)-TIMEVALUE(L128),1)*1440,"")</f>
        <v>480</v>
      </c>
      <c r="O128" s="5" t="n">
        <v>30</v>
      </c>
      <c r="P128" s="5" t="n">
        <v>0</v>
      </c>
      <c r="Q128" s="3"/>
      <c r="R128" s="3"/>
      <c r="S128" s="4" t="n">
        <f aca="false">IFERROR(N128-N(O128)-N(P128),"")</f>
        <v>450</v>
      </c>
      <c r="T128" s="5" t="n">
        <v>9199</v>
      </c>
      <c r="U128" s="5" t="n">
        <v>140</v>
      </c>
      <c r="V128" s="3" t="s">
        <v>45</v>
      </c>
      <c r="W128" s="5" t="n">
        <v>1400</v>
      </c>
      <c r="X128" s="5" t="n">
        <v>9184</v>
      </c>
      <c r="Y128" s="4" t="n">
        <f aca="false">IFERROR(T128/X128*100,"")</f>
        <v>100.163327526132</v>
      </c>
      <c r="Z128" s="4" t="n">
        <f aca="false">IFERROR(S128/N128*100,"")</f>
        <v>93.75</v>
      </c>
      <c r="AA128" s="4" t="n">
        <f aca="false">IFERROR(T128/(W128*S128/60)*100,"")</f>
        <v>87.6095238095238</v>
      </c>
      <c r="AB128" s="4" t="n">
        <f aca="false">IFERROR(T128/(T128+U128)*100,"")</f>
        <v>98.5009101616875</v>
      </c>
      <c r="AC128" s="4" t="n">
        <f aca="false">IFERROR(Z128*AA128*AB128/10000,"")</f>
        <v>80.9026671944075</v>
      </c>
      <c r="AD128" s="3"/>
    </row>
    <row r="129" customFormat="false" ht="15" hidden="false" customHeight="false" outlineLevel="0" collapsed="false">
      <c r="A129" s="6" t="s">
        <v>193</v>
      </c>
      <c r="B129" s="6" t="s">
        <v>31</v>
      </c>
      <c r="C129" s="6" t="s">
        <v>76</v>
      </c>
      <c r="D129" s="6" t="s">
        <v>33</v>
      </c>
      <c r="E129" s="6" t="s">
        <v>46</v>
      </c>
      <c r="F129" s="6" t="s">
        <v>35</v>
      </c>
      <c r="G129" s="6" t="s">
        <v>218</v>
      </c>
      <c r="H129" s="6" t="s">
        <v>37</v>
      </c>
      <c r="I129" s="6" t="s">
        <v>198</v>
      </c>
      <c r="J129" s="6" t="s">
        <v>55</v>
      </c>
      <c r="K129" s="6" t="s">
        <v>56</v>
      </c>
      <c r="L129" s="6" t="s">
        <v>41</v>
      </c>
      <c r="M129" s="6" t="s">
        <v>42</v>
      </c>
      <c r="N129" s="7" t="n">
        <f aca="false">IFERROR(MOD(TIMEVALUE(M129)-TIMEVALUE(L129),1)*1440,"")</f>
        <v>480</v>
      </c>
      <c r="O129" s="8" t="n">
        <v>15</v>
      </c>
      <c r="P129" s="8" t="n">
        <v>60</v>
      </c>
      <c r="Q129" s="6" t="s">
        <v>74</v>
      </c>
      <c r="R129" s="6" t="s">
        <v>50</v>
      </c>
      <c r="S129" s="7" t="n">
        <f aca="false">IFERROR(N129-N(O129)-N(P129),"")</f>
        <v>405</v>
      </c>
      <c r="T129" s="8" t="n">
        <v>7272</v>
      </c>
      <c r="U129" s="8" t="n">
        <v>407</v>
      </c>
      <c r="V129" s="6" t="s">
        <v>45</v>
      </c>
      <c r="W129" s="8" t="n">
        <v>1200</v>
      </c>
      <c r="X129" s="8" t="n">
        <v>7871</v>
      </c>
      <c r="Y129" s="7" t="n">
        <f aca="false">IFERROR(T129/X129*100,"")</f>
        <v>92.3897852877652</v>
      </c>
      <c r="Z129" s="7" t="n">
        <f aca="false">IFERROR(S129/N129*100,"")</f>
        <v>84.375</v>
      </c>
      <c r="AA129" s="7" t="n">
        <f aca="false">IFERROR(T129/(W129*S129/60)*100,"")</f>
        <v>89.7777777777778</v>
      </c>
      <c r="AB129" s="7" t="n">
        <f aca="false">IFERROR(T129/(T129+U129)*100,"")</f>
        <v>94.6998307071233</v>
      </c>
      <c r="AC129" s="7" t="n">
        <f aca="false">IFERROR(Z129*AA129*AB129/10000,"")</f>
        <v>71.7351217606459</v>
      </c>
      <c r="AD129" s="6"/>
    </row>
    <row r="130" customFormat="false" ht="15" hidden="false" customHeight="false" outlineLevel="0" collapsed="false">
      <c r="A130" s="3" t="s">
        <v>193</v>
      </c>
      <c r="B130" s="3" t="s">
        <v>31</v>
      </c>
      <c r="C130" s="3" t="s">
        <v>59</v>
      </c>
      <c r="D130" s="3" t="s">
        <v>33</v>
      </c>
      <c r="E130" s="3" t="s">
        <v>51</v>
      </c>
      <c r="F130" s="3" t="s">
        <v>52</v>
      </c>
      <c r="G130" s="3" t="s">
        <v>219</v>
      </c>
      <c r="H130" s="3" t="s">
        <v>37</v>
      </c>
      <c r="I130" s="3" t="s">
        <v>217</v>
      </c>
      <c r="J130" s="3" t="s">
        <v>65</v>
      </c>
      <c r="K130" s="3" t="s">
        <v>66</v>
      </c>
      <c r="L130" s="3" t="s">
        <v>41</v>
      </c>
      <c r="M130" s="3" t="s">
        <v>42</v>
      </c>
      <c r="N130" s="4" t="n">
        <f aca="false">IFERROR(MOD(TIMEVALUE(M130)-TIMEVALUE(L130),1)*1440,"")</f>
        <v>480</v>
      </c>
      <c r="O130" s="5" t="n">
        <v>0</v>
      </c>
      <c r="P130" s="5" t="n">
        <v>15</v>
      </c>
      <c r="Q130" s="3" t="s">
        <v>95</v>
      </c>
      <c r="R130" s="3" t="s">
        <v>50</v>
      </c>
      <c r="S130" s="4" t="n">
        <f aca="false">IFERROR(N130-N(O130)-N(P130),"")</f>
        <v>465</v>
      </c>
      <c r="T130" s="5" t="n">
        <v>9252</v>
      </c>
      <c r="U130" s="5" t="n">
        <v>273</v>
      </c>
      <c r="V130" s="3" t="s">
        <v>45</v>
      </c>
      <c r="W130" s="5" t="n">
        <v>1400</v>
      </c>
      <c r="X130" s="5" t="n">
        <v>9184</v>
      </c>
      <c r="Y130" s="4" t="n">
        <f aca="false">IFERROR(T130/X130*100,"")</f>
        <v>100.740418118467</v>
      </c>
      <c r="Z130" s="4" t="n">
        <f aca="false">IFERROR(S130/N130*100,"")</f>
        <v>96.875</v>
      </c>
      <c r="AA130" s="4" t="n">
        <f aca="false">IFERROR(T130/(W130*S130/60)*100,"")</f>
        <v>85.2718894009217</v>
      </c>
      <c r="AB130" s="4" t="n">
        <f aca="false">IFERROR(T130/(T130+U130)*100,"")</f>
        <v>97.1338582677165</v>
      </c>
      <c r="AC130" s="4" t="n">
        <f aca="false">IFERROR(Z130*AA130*AB130/10000,"")</f>
        <v>80.2395050618673</v>
      </c>
      <c r="AD130" s="3"/>
    </row>
    <row r="131" customFormat="false" ht="15" hidden="false" customHeight="false" outlineLevel="0" collapsed="false">
      <c r="A131" s="6" t="s">
        <v>193</v>
      </c>
      <c r="B131" s="6" t="s">
        <v>58</v>
      </c>
      <c r="C131" s="6" t="s">
        <v>59</v>
      </c>
      <c r="D131" s="6" t="s">
        <v>60</v>
      </c>
      <c r="E131" s="6" t="s">
        <v>34</v>
      </c>
      <c r="F131" s="6" t="s">
        <v>35</v>
      </c>
      <c r="G131" s="6" t="s">
        <v>220</v>
      </c>
      <c r="H131" s="6" t="s">
        <v>37</v>
      </c>
      <c r="I131" s="6" t="s">
        <v>198</v>
      </c>
      <c r="J131" s="6" t="s">
        <v>39</v>
      </c>
      <c r="K131" s="6" t="s">
        <v>40</v>
      </c>
      <c r="L131" s="6" t="s">
        <v>42</v>
      </c>
      <c r="M131" s="6" t="s">
        <v>63</v>
      </c>
      <c r="N131" s="7" t="n">
        <f aca="false">IFERROR(MOD(TIMEVALUE(M131)-TIMEVALUE(L131),1)*1440,"")</f>
        <v>480</v>
      </c>
      <c r="O131" s="8" t="n">
        <v>0</v>
      </c>
      <c r="P131" s="8" t="n">
        <v>30</v>
      </c>
      <c r="Q131" s="6" t="s">
        <v>57</v>
      </c>
      <c r="R131" s="6" t="s">
        <v>50</v>
      </c>
      <c r="S131" s="7" t="n">
        <f aca="false">IFERROR(N131-N(O131)-N(P131),"")</f>
        <v>450</v>
      </c>
      <c r="T131" s="8" t="n">
        <v>5418</v>
      </c>
      <c r="U131" s="8" t="n">
        <v>78</v>
      </c>
      <c r="V131" s="6" t="s">
        <v>45</v>
      </c>
      <c r="W131" s="8" t="n">
        <v>950</v>
      </c>
      <c r="X131" s="8" t="n">
        <v>6232</v>
      </c>
      <c r="Y131" s="7" t="n">
        <f aca="false">IFERROR(T131/X131*100,"")</f>
        <v>86.9383825417202</v>
      </c>
      <c r="Z131" s="7" t="n">
        <f aca="false">IFERROR(S131/N131*100,"")</f>
        <v>93.75</v>
      </c>
      <c r="AA131" s="7" t="n">
        <f aca="false">IFERROR(T131/(W131*S131/60)*100,"")</f>
        <v>76.0421052631579</v>
      </c>
      <c r="AB131" s="7" t="n">
        <f aca="false">IFERROR(T131/(T131+U131)*100,"")</f>
        <v>98.5807860262009</v>
      </c>
      <c r="AC131" s="7" t="n">
        <f aca="false">IFERROR(Z131*AA131*AB131/10000,"")</f>
        <v>70.2777235118364</v>
      </c>
      <c r="AD131" s="6"/>
    </row>
    <row r="132" customFormat="false" ht="15" hidden="false" customHeight="false" outlineLevel="0" collapsed="false">
      <c r="A132" s="3" t="s">
        <v>193</v>
      </c>
      <c r="B132" s="3" t="s">
        <v>58</v>
      </c>
      <c r="C132" s="3" t="s">
        <v>76</v>
      </c>
      <c r="D132" s="3" t="s">
        <v>60</v>
      </c>
      <c r="E132" s="3" t="s">
        <v>46</v>
      </c>
      <c r="F132" s="3" t="s">
        <v>35</v>
      </c>
      <c r="G132" s="3" t="s">
        <v>221</v>
      </c>
      <c r="H132" s="3" t="s">
        <v>62</v>
      </c>
      <c r="I132" s="3"/>
      <c r="J132" s="3" t="s">
        <v>65</v>
      </c>
      <c r="K132" s="3" t="s">
        <v>66</v>
      </c>
      <c r="L132" s="3" t="s">
        <v>42</v>
      </c>
      <c r="M132" s="3" t="s">
        <v>63</v>
      </c>
      <c r="N132" s="4" t="n">
        <f aca="false">IFERROR(MOD(TIMEVALUE(M132)-TIMEVALUE(L132),1)*1440,"")</f>
        <v>480</v>
      </c>
      <c r="O132" s="5" t="n">
        <v>30</v>
      </c>
      <c r="P132" s="5" t="n">
        <v>115</v>
      </c>
      <c r="Q132" s="3" t="s">
        <v>87</v>
      </c>
      <c r="R132" s="3" t="s">
        <v>50</v>
      </c>
      <c r="S132" s="4" t="n">
        <f aca="false">IFERROR(N132-N(O132)-N(P132),"")</f>
        <v>335</v>
      </c>
      <c r="T132" s="5" t="n">
        <v>7508</v>
      </c>
      <c r="U132" s="5" t="n">
        <v>325</v>
      </c>
      <c r="V132" s="3" t="s">
        <v>45</v>
      </c>
      <c r="W132" s="5" t="n">
        <v>1400</v>
      </c>
      <c r="X132" s="5" t="n">
        <v>9184</v>
      </c>
      <c r="Y132" s="4" t="n">
        <f aca="false">IFERROR(T132/X132*100,"")</f>
        <v>81.7508710801394</v>
      </c>
      <c r="Z132" s="4" t="n">
        <f aca="false">IFERROR(S132/N132*100,"")</f>
        <v>69.7916666666667</v>
      </c>
      <c r="AA132" s="4" t="n">
        <f aca="false">IFERROR(T132/(W132*S132/60)*100,"")</f>
        <v>96.0511727078891</v>
      </c>
      <c r="AB132" s="4" t="n">
        <f aca="false">IFERROR(T132/(T132+U132)*100,"")</f>
        <v>95.8508872717988</v>
      </c>
      <c r="AC132" s="4" t="n">
        <f aca="false">IFERROR(Z132*AA132*AB132/10000,"")</f>
        <v>64.2543269318451</v>
      </c>
      <c r="AD132" s="3"/>
    </row>
    <row r="133" customFormat="false" ht="15" hidden="false" customHeight="false" outlineLevel="0" collapsed="false">
      <c r="A133" s="6" t="s">
        <v>193</v>
      </c>
      <c r="B133" s="6" t="s">
        <v>58</v>
      </c>
      <c r="C133" s="6" t="s">
        <v>67</v>
      </c>
      <c r="D133" s="6" t="s">
        <v>60</v>
      </c>
      <c r="E133" s="6" t="s">
        <v>51</v>
      </c>
      <c r="F133" s="6" t="s">
        <v>52</v>
      </c>
      <c r="G133" s="6" t="s">
        <v>222</v>
      </c>
      <c r="H133" s="6" t="s">
        <v>37</v>
      </c>
      <c r="I133" s="6" t="s">
        <v>198</v>
      </c>
      <c r="J133" s="6" t="s">
        <v>39</v>
      </c>
      <c r="K133" s="6" t="s">
        <v>40</v>
      </c>
      <c r="L133" s="6" t="s">
        <v>42</v>
      </c>
      <c r="M133" s="6" t="s">
        <v>63</v>
      </c>
      <c r="N133" s="7" t="n">
        <f aca="false">IFERROR(MOD(TIMEVALUE(M133)-TIMEVALUE(L133),1)*1440,"")</f>
        <v>480</v>
      </c>
      <c r="O133" s="8" t="n">
        <v>0</v>
      </c>
      <c r="P133" s="8" t="n">
        <v>0</v>
      </c>
      <c r="Q133" s="6"/>
      <c r="R133" s="6"/>
      <c r="S133" s="7" t="n">
        <f aca="false">IFERROR(N133-N(O133)-N(P133),"")</f>
        <v>480</v>
      </c>
      <c r="T133" s="8" t="n">
        <v>0</v>
      </c>
      <c r="U133" s="8" t="n">
        <v>0</v>
      </c>
      <c r="V133" s="6" t="s">
        <v>45</v>
      </c>
      <c r="W133" s="8" t="n">
        <v>950</v>
      </c>
      <c r="X133" s="8" t="n">
        <v>6232</v>
      </c>
      <c r="Y133" s="7" t="n">
        <f aca="false">IFERROR(T133/X133*100,"")</f>
        <v>0</v>
      </c>
      <c r="Z133" s="7" t="n">
        <f aca="false">IFERROR(S133/N133*100,"")</f>
        <v>100</v>
      </c>
      <c r="AA133" s="7" t="n">
        <f aca="false">IFERROR(T133/(W133*S133/60)*100,"")</f>
        <v>0</v>
      </c>
      <c r="AB133" s="7" t="str">
        <f aca="false">IFERROR(T133/(T133+U133)*100,"")</f>
        <v/>
      </c>
      <c r="AC133" s="7" t="str">
        <f aca="false">IFERROR(Z133*AA133*AB133/10000,"")</f>
        <v/>
      </c>
      <c r="AD133" s="6" t="s">
        <v>223</v>
      </c>
    </row>
    <row r="134" customFormat="false" ht="15" hidden="false" customHeight="false" outlineLevel="0" collapsed="false">
      <c r="A134" s="3" t="s">
        <v>193</v>
      </c>
      <c r="B134" s="3" t="s">
        <v>69</v>
      </c>
      <c r="C134" s="3" t="s">
        <v>99</v>
      </c>
      <c r="D134" s="3" t="s">
        <v>71</v>
      </c>
      <c r="E134" s="3" t="s">
        <v>34</v>
      </c>
      <c r="F134" s="3" t="s">
        <v>35</v>
      </c>
      <c r="G134" s="3" t="s">
        <v>224</v>
      </c>
      <c r="H134" s="3" t="s">
        <v>37</v>
      </c>
      <c r="I134" s="3" t="s">
        <v>217</v>
      </c>
      <c r="J134" s="3" t="s">
        <v>65</v>
      </c>
      <c r="K134" s="3" t="s">
        <v>66</v>
      </c>
      <c r="L134" s="3" t="s">
        <v>63</v>
      </c>
      <c r="M134" s="3" t="s">
        <v>41</v>
      </c>
      <c r="N134" s="4" t="n">
        <f aca="false">IFERROR(MOD(TIMEVALUE(M134)-TIMEVALUE(L134),1)*1440,"")</f>
        <v>480</v>
      </c>
      <c r="O134" s="5" t="n">
        <v>20</v>
      </c>
      <c r="P134" s="5" t="n">
        <v>20</v>
      </c>
      <c r="Q134" s="3" t="s">
        <v>57</v>
      </c>
      <c r="R134" s="3" t="s">
        <v>50</v>
      </c>
      <c r="S134" s="4" t="n">
        <f aca="false">IFERROR(N134-N(O134)-N(P134),"")</f>
        <v>440</v>
      </c>
      <c r="T134" s="5" t="n">
        <v>9816</v>
      </c>
      <c r="U134" s="5" t="n">
        <v>191</v>
      </c>
      <c r="V134" s="3" t="s">
        <v>45</v>
      </c>
      <c r="W134" s="5" t="n">
        <v>1400</v>
      </c>
      <c r="X134" s="5" t="n">
        <v>9184</v>
      </c>
      <c r="Y134" s="4" t="n">
        <f aca="false">IFERROR(T134/X134*100,"")</f>
        <v>106.881533101045</v>
      </c>
      <c r="Z134" s="4" t="n">
        <f aca="false">IFERROR(S134/N134*100,"")</f>
        <v>91.6666666666667</v>
      </c>
      <c r="AA134" s="4" t="n">
        <f aca="false">IFERROR(T134/(W134*S134/60)*100,"")</f>
        <v>95.6103896103896</v>
      </c>
      <c r="AB134" s="4" t="n">
        <f aca="false">IFERROR(T134/(T134+U134)*100,"")</f>
        <v>98.0913360647547</v>
      </c>
      <c r="AC134" s="4" t="n">
        <f aca="false">IFERROR(Z134*AA134*AB134/10000,"")</f>
        <v>85.9700495367528</v>
      </c>
      <c r="AD134" s="3"/>
    </row>
    <row r="135" customFormat="false" ht="15" hidden="false" customHeight="false" outlineLevel="0" collapsed="false">
      <c r="A135" s="6" t="s">
        <v>193</v>
      </c>
      <c r="B135" s="6" t="s">
        <v>69</v>
      </c>
      <c r="C135" s="6" t="s">
        <v>99</v>
      </c>
      <c r="D135" s="6" t="s">
        <v>71</v>
      </c>
      <c r="E135" s="6" t="s">
        <v>46</v>
      </c>
      <c r="F135" s="6" t="s">
        <v>35</v>
      </c>
      <c r="G135" s="6" t="s">
        <v>225</v>
      </c>
      <c r="H135" s="6" t="s">
        <v>62</v>
      </c>
      <c r="I135" s="6"/>
      <c r="J135" s="6" t="s">
        <v>55</v>
      </c>
      <c r="K135" s="6" t="s">
        <v>56</v>
      </c>
      <c r="L135" s="6" t="s">
        <v>63</v>
      </c>
      <c r="M135" s="6" t="s">
        <v>41</v>
      </c>
      <c r="N135" s="7" t="n">
        <f aca="false">IFERROR(MOD(TIMEVALUE(M135)-TIMEVALUE(L135),1)*1440,"")</f>
        <v>480</v>
      </c>
      <c r="O135" s="8" t="n">
        <v>30</v>
      </c>
      <c r="P135" s="8" t="n">
        <v>95</v>
      </c>
      <c r="Q135" s="6" t="s">
        <v>49</v>
      </c>
      <c r="R135" s="6" t="s">
        <v>50</v>
      </c>
      <c r="S135" s="7" t="n">
        <f aca="false">IFERROR(N135-N(O135)-N(P135),"")</f>
        <v>355</v>
      </c>
      <c r="T135" s="8" t="n">
        <v>6353</v>
      </c>
      <c r="U135" s="8" t="n">
        <v>26</v>
      </c>
      <c r="V135" s="6" t="s">
        <v>45</v>
      </c>
      <c r="W135" s="8" t="n">
        <v>1200</v>
      </c>
      <c r="X135" s="8" t="n">
        <v>7871</v>
      </c>
      <c r="Y135" s="7" t="n">
        <f aca="false">IFERROR(T135/X135*100,"")</f>
        <v>80.7140134671579</v>
      </c>
      <c r="Z135" s="7" t="n">
        <f aca="false">IFERROR(S135/N135*100,"")</f>
        <v>73.9583333333333</v>
      </c>
      <c r="AA135" s="7" t="n">
        <f aca="false">IFERROR(T135/(W135*S135/60)*100,"")</f>
        <v>89.4788732394366</v>
      </c>
      <c r="AB135" s="7" t="n">
        <f aca="false">IFERROR(T135/(T135+U135)*100,"")</f>
        <v>99.5924126038564</v>
      </c>
      <c r="AC135" s="7" t="n">
        <f aca="false">IFERROR(Z135*AA135*AB135/10000,"")</f>
        <v>65.9073538825312</v>
      </c>
      <c r="AD135" s="6"/>
    </row>
    <row r="136" customFormat="false" ht="15" hidden="false" customHeight="false" outlineLevel="0" collapsed="false">
      <c r="A136" s="3" t="s">
        <v>193</v>
      </c>
      <c r="B136" s="3" t="s">
        <v>69</v>
      </c>
      <c r="C136" s="3" t="s">
        <v>99</v>
      </c>
      <c r="D136" s="3" t="s">
        <v>71</v>
      </c>
      <c r="E136" s="3" t="s">
        <v>51</v>
      </c>
      <c r="F136" s="3" t="s">
        <v>52</v>
      </c>
      <c r="G136" s="3" t="s">
        <v>226</v>
      </c>
      <c r="H136" s="3" t="s">
        <v>62</v>
      </c>
      <c r="I136" s="3"/>
      <c r="J136" s="3" t="s">
        <v>65</v>
      </c>
      <c r="K136" s="3" t="s">
        <v>66</v>
      </c>
      <c r="L136" s="3" t="s">
        <v>63</v>
      </c>
      <c r="M136" s="3" t="s">
        <v>41</v>
      </c>
      <c r="N136" s="4" t="n">
        <f aca="false">IFERROR(MOD(TIMEVALUE(M136)-TIMEVALUE(L136),1)*1440,"")</f>
        <v>480</v>
      </c>
      <c r="O136" s="5" t="n">
        <v>0</v>
      </c>
      <c r="P136" s="5" t="n">
        <v>65</v>
      </c>
      <c r="Q136" s="3" t="s">
        <v>97</v>
      </c>
      <c r="R136" s="3" t="s">
        <v>44</v>
      </c>
      <c r="S136" s="4" t="n">
        <f aca="false">IFERROR(N136-N(O136)-N(P136),"")</f>
        <v>415</v>
      </c>
      <c r="T136" s="5" t="n">
        <v>9269</v>
      </c>
      <c r="U136" s="5" t="n">
        <v>52</v>
      </c>
      <c r="V136" s="3" t="s">
        <v>45</v>
      </c>
      <c r="W136" s="5" t="n">
        <v>1400</v>
      </c>
      <c r="X136" s="5" t="n">
        <v>9184</v>
      </c>
      <c r="Y136" s="4" t="n">
        <f aca="false">IFERROR(T136/X136*100,"")</f>
        <v>100.925522648084</v>
      </c>
      <c r="Z136" s="4" t="n">
        <f aca="false">IFERROR(S136/N136*100,"")</f>
        <v>86.4583333333333</v>
      </c>
      <c r="AA136" s="4" t="n">
        <f aca="false">IFERROR(T136/(W136*S136/60)*100,"")</f>
        <v>95.7211703958692</v>
      </c>
      <c r="AB136" s="4" t="n">
        <f aca="false">IFERROR(T136/(T136+U136)*100,"")</f>
        <v>99.442119944212</v>
      </c>
      <c r="AC136" s="4" t="n">
        <f aca="false">IFERROR(Z136*AA136*AB136/10000,"")</f>
        <v>82.2972330145447</v>
      </c>
      <c r="AD136" s="3"/>
    </row>
    <row r="137" customFormat="false" ht="15" hidden="false" customHeight="false" outlineLevel="0" collapsed="false">
      <c r="A137" s="6" t="s">
        <v>227</v>
      </c>
      <c r="B137" s="6" t="s">
        <v>31</v>
      </c>
      <c r="C137" s="6" t="s">
        <v>59</v>
      </c>
      <c r="D137" s="6" t="s">
        <v>33</v>
      </c>
      <c r="E137" s="6" t="s">
        <v>34</v>
      </c>
      <c r="F137" s="6" t="s">
        <v>35</v>
      </c>
      <c r="G137" s="6" t="s">
        <v>228</v>
      </c>
      <c r="H137" s="6" t="s">
        <v>37</v>
      </c>
      <c r="I137" s="6" t="s">
        <v>229</v>
      </c>
      <c r="J137" s="6" t="s">
        <v>55</v>
      </c>
      <c r="K137" s="6" t="s">
        <v>56</v>
      </c>
      <c r="L137" s="6" t="s">
        <v>41</v>
      </c>
      <c r="M137" s="6" t="s">
        <v>42</v>
      </c>
      <c r="N137" s="7" t="n">
        <f aca="false">IFERROR(MOD(TIMEVALUE(M137)-TIMEVALUE(L137),1)*1440,"")</f>
        <v>480</v>
      </c>
      <c r="O137" s="8" t="n">
        <v>0</v>
      </c>
      <c r="P137" s="8" t="n">
        <v>0</v>
      </c>
      <c r="Q137" s="6"/>
      <c r="R137" s="6"/>
      <c r="S137" s="7" t="n">
        <f aca="false">IFERROR(N137-N(O137)-N(P137),"")</f>
        <v>480</v>
      </c>
      <c r="T137" s="8" t="n">
        <v>7021</v>
      </c>
      <c r="U137" s="8" t="n">
        <v>114</v>
      </c>
      <c r="V137" s="6" t="s">
        <v>45</v>
      </c>
      <c r="W137" s="8" t="n">
        <v>1200</v>
      </c>
      <c r="X137" s="8" t="n">
        <v>7871</v>
      </c>
      <c r="Y137" s="7" t="n">
        <f aca="false">IFERROR(T137/X137*100,"")</f>
        <v>89.2008639308855</v>
      </c>
      <c r="Z137" s="7" t="n">
        <f aca="false">IFERROR(S137/N137*100,"")</f>
        <v>100</v>
      </c>
      <c r="AA137" s="7" t="n">
        <f aca="false">IFERROR(T137/(W137*S137/60)*100,"")</f>
        <v>73.1354166666667</v>
      </c>
      <c r="AB137" s="7" t="n">
        <f aca="false">IFERROR(T137/(T137+U137)*100,"")</f>
        <v>98.4022424667134</v>
      </c>
      <c r="AC137" s="7" t="n">
        <f aca="false">IFERROR(Z137*AA137*AB137/10000,"")</f>
        <v>71.9668900373744</v>
      </c>
      <c r="AD137" s="6"/>
    </row>
    <row r="138" customFormat="false" ht="15" hidden="false" customHeight="false" outlineLevel="0" collapsed="false">
      <c r="A138" s="3" t="s">
        <v>227</v>
      </c>
      <c r="B138" s="3" t="s">
        <v>31</v>
      </c>
      <c r="C138" s="3" t="s">
        <v>67</v>
      </c>
      <c r="D138" s="3" t="s">
        <v>33</v>
      </c>
      <c r="E138" s="3" t="s">
        <v>46</v>
      </c>
      <c r="F138" s="3" t="s">
        <v>35</v>
      </c>
      <c r="G138" s="3" t="s">
        <v>230</v>
      </c>
      <c r="H138" s="3" t="s">
        <v>62</v>
      </c>
      <c r="I138" s="3"/>
      <c r="J138" s="3" t="s">
        <v>65</v>
      </c>
      <c r="K138" s="3" t="s">
        <v>66</v>
      </c>
      <c r="L138" s="3" t="s">
        <v>41</v>
      </c>
      <c r="M138" s="3" t="s">
        <v>42</v>
      </c>
      <c r="N138" s="4" t="n">
        <f aca="false">IFERROR(MOD(TIMEVALUE(M138)-TIMEVALUE(L138),1)*1440,"")</f>
        <v>480</v>
      </c>
      <c r="O138" s="5" t="n">
        <v>0</v>
      </c>
      <c r="P138" s="5" t="n">
        <v>35</v>
      </c>
      <c r="Q138" s="3" t="s">
        <v>79</v>
      </c>
      <c r="R138" s="3" t="s">
        <v>50</v>
      </c>
      <c r="S138" s="4" t="n">
        <f aca="false">IFERROR(N138-N(O138)-N(P138),"")</f>
        <v>445</v>
      </c>
      <c r="T138" s="5" t="n">
        <v>9786</v>
      </c>
      <c r="U138" s="5" t="n">
        <v>246</v>
      </c>
      <c r="V138" s="3" t="s">
        <v>45</v>
      </c>
      <c r="W138" s="5" t="n">
        <v>1400</v>
      </c>
      <c r="X138" s="5" t="n">
        <v>9184</v>
      </c>
      <c r="Y138" s="4" t="n">
        <f aca="false">IFERROR(T138/X138*100,"")</f>
        <v>106.55487804878</v>
      </c>
      <c r="Z138" s="4" t="n">
        <f aca="false">IFERROR(S138/N138*100,"")</f>
        <v>92.7083333333333</v>
      </c>
      <c r="AA138" s="4" t="n">
        <f aca="false">IFERROR(T138/(W138*S138/60)*100,"")</f>
        <v>94.247191011236</v>
      </c>
      <c r="AB138" s="4" t="n">
        <f aca="false">IFERROR(T138/(T138+U138)*100,"")</f>
        <v>97.5478468899522</v>
      </c>
      <c r="AC138" s="4" t="n">
        <f aca="false">IFERROR(Z138*AA138*AB138/10000,"")</f>
        <v>85.2324312200957</v>
      </c>
      <c r="AD138" s="3"/>
    </row>
    <row r="139" customFormat="false" ht="15" hidden="false" customHeight="false" outlineLevel="0" collapsed="false">
      <c r="A139" s="6" t="s">
        <v>227</v>
      </c>
      <c r="B139" s="6" t="s">
        <v>31</v>
      </c>
      <c r="C139" s="6" t="s">
        <v>67</v>
      </c>
      <c r="D139" s="6" t="s">
        <v>33</v>
      </c>
      <c r="E139" s="6" t="s">
        <v>51</v>
      </c>
      <c r="F139" s="6" t="s">
        <v>52</v>
      </c>
      <c r="G139" s="6" t="s">
        <v>231</v>
      </c>
      <c r="H139" s="6" t="s">
        <v>37</v>
      </c>
      <c r="I139" s="6" t="s">
        <v>232</v>
      </c>
      <c r="J139" s="6" t="s">
        <v>65</v>
      </c>
      <c r="K139" s="6" t="s">
        <v>66</v>
      </c>
      <c r="L139" s="6" t="s">
        <v>41</v>
      </c>
      <c r="M139" s="6" t="s">
        <v>42</v>
      </c>
      <c r="N139" s="7" t="n">
        <f aca="false">IFERROR(MOD(TIMEVALUE(M139)-TIMEVALUE(L139),1)*1440,"")</f>
        <v>480</v>
      </c>
      <c r="O139" s="8" t="n">
        <v>45</v>
      </c>
      <c r="P139" s="8" t="n">
        <v>0</v>
      </c>
      <c r="Q139" s="6"/>
      <c r="R139" s="6"/>
      <c r="S139" s="7" t="n">
        <f aca="false">IFERROR(N139-N(O139)-N(P139),"")</f>
        <v>435</v>
      </c>
      <c r="T139" s="8" t="n">
        <v>9612</v>
      </c>
      <c r="U139" s="8" t="n">
        <v>141</v>
      </c>
      <c r="V139" s="6" t="s">
        <v>45</v>
      </c>
      <c r="W139" s="8" t="n">
        <v>1400</v>
      </c>
      <c r="X139" s="8" t="n">
        <v>9184</v>
      </c>
      <c r="Y139" s="7" t="n">
        <f aca="false">IFERROR(T139/X139*100,"")</f>
        <v>104.660278745645</v>
      </c>
      <c r="Z139" s="7" t="n">
        <f aca="false">IFERROR(S139/N139*100,"")</f>
        <v>90.625</v>
      </c>
      <c r="AA139" s="7" t="n">
        <f aca="false">IFERROR(T139/(W139*S139/60)*100,"")</f>
        <v>94.6995073891626</v>
      </c>
      <c r="AB139" s="7" t="n">
        <f aca="false">IFERROR(T139/(T139+U139)*100,"")</f>
        <v>98.5542909873885</v>
      </c>
      <c r="AC139" s="7" t="n">
        <f aca="false">IFERROR(Z139*AA139*AB139/10000,"")</f>
        <v>84.5807004438195</v>
      </c>
      <c r="AD139" s="6"/>
    </row>
    <row r="140" customFormat="false" ht="15" hidden="false" customHeight="false" outlineLevel="0" collapsed="false">
      <c r="A140" s="3" t="s">
        <v>227</v>
      </c>
      <c r="B140" s="3" t="s">
        <v>58</v>
      </c>
      <c r="C140" s="3" t="s">
        <v>67</v>
      </c>
      <c r="D140" s="3" t="s">
        <v>60</v>
      </c>
      <c r="E140" s="3" t="s">
        <v>34</v>
      </c>
      <c r="F140" s="3" t="s">
        <v>35</v>
      </c>
      <c r="G140" s="3" t="s">
        <v>233</v>
      </c>
      <c r="H140" s="3" t="s">
        <v>37</v>
      </c>
      <c r="I140" s="3" t="s">
        <v>229</v>
      </c>
      <c r="J140" s="3" t="s">
        <v>55</v>
      </c>
      <c r="K140" s="3" t="s">
        <v>56</v>
      </c>
      <c r="L140" s="3" t="s">
        <v>42</v>
      </c>
      <c r="M140" s="3" t="s">
        <v>63</v>
      </c>
      <c r="N140" s="4" t="n">
        <f aca="false">IFERROR(MOD(TIMEVALUE(M140)-TIMEVALUE(L140),1)*1440,"")</f>
        <v>480</v>
      </c>
      <c r="O140" s="5" t="n">
        <v>20</v>
      </c>
      <c r="P140" s="5" t="n">
        <v>0</v>
      </c>
      <c r="Q140" s="3"/>
      <c r="R140" s="3"/>
      <c r="S140" s="4" t="n">
        <f aca="false">IFERROR(N140-N(O140)-N(P140),"")</f>
        <v>460</v>
      </c>
      <c r="T140" s="5" t="n">
        <v>7514</v>
      </c>
      <c r="U140" s="5" t="n">
        <v>102</v>
      </c>
      <c r="V140" s="3" t="s">
        <v>45</v>
      </c>
      <c r="W140" s="5" t="n">
        <v>1200</v>
      </c>
      <c r="X140" s="5" t="n">
        <v>7871</v>
      </c>
      <c r="Y140" s="4" t="n">
        <f aca="false">IFERROR(T140/X140*100,"")</f>
        <v>95.4643628509719</v>
      </c>
      <c r="Z140" s="4" t="n">
        <f aca="false">IFERROR(S140/N140*100,"")</f>
        <v>95.8333333333333</v>
      </c>
      <c r="AA140" s="4" t="n">
        <f aca="false">IFERROR(T140/(W140*S140/60)*100,"")</f>
        <v>81.6739130434783</v>
      </c>
      <c r="AB140" s="4" t="n">
        <f aca="false">IFERROR(T140/(T140+U140)*100,"")</f>
        <v>98.6607142857143</v>
      </c>
      <c r="AC140" s="4" t="n">
        <f aca="false">IFERROR(Z140*AA140*AB140/10000,"")</f>
        <v>77.2225632440477</v>
      </c>
      <c r="AD140" s="3"/>
    </row>
    <row r="141" customFormat="false" ht="15" hidden="false" customHeight="false" outlineLevel="0" collapsed="false">
      <c r="A141" s="6" t="s">
        <v>227</v>
      </c>
      <c r="B141" s="6" t="s">
        <v>58</v>
      </c>
      <c r="C141" s="6" t="s">
        <v>32</v>
      </c>
      <c r="D141" s="6" t="s">
        <v>60</v>
      </c>
      <c r="E141" s="6" t="s">
        <v>46</v>
      </c>
      <c r="F141" s="6" t="s">
        <v>35</v>
      </c>
      <c r="G141" s="6" t="s">
        <v>234</v>
      </c>
      <c r="H141" s="6" t="s">
        <v>37</v>
      </c>
      <c r="I141" s="6" t="s">
        <v>235</v>
      </c>
      <c r="J141" s="6" t="s">
        <v>55</v>
      </c>
      <c r="K141" s="6" t="s">
        <v>56</v>
      </c>
      <c r="L141" s="6" t="s">
        <v>42</v>
      </c>
      <c r="M141" s="6" t="s">
        <v>63</v>
      </c>
      <c r="N141" s="7" t="n">
        <f aca="false">IFERROR(MOD(TIMEVALUE(M141)-TIMEVALUE(L141),1)*1440,"")</f>
        <v>480</v>
      </c>
      <c r="O141" s="8" t="n">
        <v>15</v>
      </c>
      <c r="P141" s="8" t="n">
        <v>0</v>
      </c>
      <c r="Q141" s="6"/>
      <c r="R141" s="6"/>
      <c r="S141" s="7" t="n">
        <f aca="false">IFERROR(N141-N(O141)-N(P141),"")</f>
        <v>465</v>
      </c>
      <c r="T141" s="8" t="n">
        <v>8952</v>
      </c>
      <c r="U141" s="8" t="n">
        <v>62</v>
      </c>
      <c r="V141" s="6" t="s">
        <v>45</v>
      </c>
      <c r="W141" s="8" t="n">
        <v>1200</v>
      </c>
      <c r="X141" s="8" t="n">
        <v>7871</v>
      </c>
      <c r="Y141" s="7" t="n">
        <f aca="false">IFERROR(T141/X141*100,"")</f>
        <v>113.733960106721</v>
      </c>
      <c r="Z141" s="7" t="n">
        <f aca="false">IFERROR(S141/N141*100,"")</f>
        <v>96.875</v>
      </c>
      <c r="AA141" s="7" t="n">
        <f aca="false">IFERROR(T141/(W141*S141/60)*100,"")</f>
        <v>96.258064516129</v>
      </c>
      <c r="AB141" s="7" t="n">
        <f aca="false">IFERROR(T141/(T141+U141)*100,"")</f>
        <v>99.3121810516974</v>
      </c>
      <c r="AC141" s="7" t="n">
        <f aca="false">IFERROR(Z141*AA141*AB141/10000,"")</f>
        <v>92.6086088307078</v>
      </c>
      <c r="AD141" s="6"/>
    </row>
    <row r="142" customFormat="false" ht="15" hidden="false" customHeight="false" outlineLevel="0" collapsed="false">
      <c r="A142" s="3" t="s">
        <v>227</v>
      </c>
      <c r="B142" s="3" t="s">
        <v>58</v>
      </c>
      <c r="C142" s="3" t="s">
        <v>67</v>
      </c>
      <c r="D142" s="3" t="s">
        <v>60</v>
      </c>
      <c r="E142" s="3" t="s">
        <v>51</v>
      </c>
      <c r="F142" s="3" t="s">
        <v>52</v>
      </c>
      <c r="G142" s="3" t="s">
        <v>236</v>
      </c>
      <c r="H142" s="3" t="s">
        <v>37</v>
      </c>
      <c r="I142" s="3" t="s">
        <v>232</v>
      </c>
      <c r="J142" s="3" t="s">
        <v>65</v>
      </c>
      <c r="K142" s="3" t="s">
        <v>66</v>
      </c>
      <c r="L142" s="3" t="s">
        <v>42</v>
      </c>
      <c r="M142" s="3" t="s">
        <v>63</v>
      </c>
      <c r="N142" s="4" t="n">
        <f aca="false">IFERROR(MOD(TIMEVALUE(M142)-TIMEVALUE(L142),1)*1440,"")</f>
        <v>480</v>
      </c>
      <c r="O142" s="5" t="n">
        <v>0</v>
      </c>
      <c r="P142" s="5" t="n">
        <v>105</v>
      </c>
      <c r="Q142" s="3" t="s">
        <v>57</v>
      </c>
      <c r="R142" s="3" t="s">
        <v>50</v>
      </c>
      <c r="S142" s="4" t="n">
        <f aca="false">IFERROR(N142-N(O142)-N(P142),"")</f>
        <v>375</v>
      </c>
      <c r="T142" s="5" t="n">
        <v>7363</v>
      </c>
      <c r="U142" s="5" t="n">
        <v>133</v>
      </c>
      <c r="V142" s="3" t="s">
        <v>45</v>
      </c>
      <c r="W142" s="5" t="n">
        <v>1400</v>
      </c>
      <c r="X142" s="5" t="n">
        <v>9184</v>
      </c>
      <c r="Y142" s="4" t="n">
        <f aca="false">IFERROR(T142/X142*100,"")</f>
        <v>80.1720383275261</v>
      </c>
      <c r="Z142" s="4" t="n">
        <f aca="false">IFERROR(S142/N142*100,"")</f>
        <v>78.125</v>
      </c>
      <c r="AA142" s="4" t="n">
        <f aca="false">IFERROR(T142/(W142*S142/60)*100,"")</f>
        <v>84.1485714285714</v>
      </c>
      <c r="AB142" s="4" t="n">
        <f aca="false">IFERROR(T142/(T142+U142)*100,"")</f>
        <v>98.2257203842049</v>
      </c>
      <c r="AC142" s="4" t="n">
        <f aca="false">IFERROR(Z142*AA142*AB142/10000,"")</f>
        <v>64.574640999009</v>
      </c>
      <c r="AD142" s="3"/>
    </row>
    <row r="143" customFormat="false" ht="15" hidden="false" customHeight="false" outlineLevel="0" collapsed="false">
      <c r="A143" s="6" t="s">
        <v>227</v>
      </c>
      <c r="B143" s="6" t="s">
        <v>69</v>
      </c>
      <c r="C143" s="6" t="s">
        <v>76</v>
      </c>
      <c r="D143" s="6" t="s">
        <v>71</v>
      </c>
      <c r="E143" s="6" t="s">
        <v>34</v>
      </c>
      <c r="F143" s="6" t="s">
        <v>35</v>
      </c>
      <c r="G143" s="6" t="s">
        <v>237</v>
      </c>
      <c r="H143" s="6" t="s">
        <v>62</v>
      </c>
      <c r="I143" s="6"/>
      <c r="J143" s="6" t="s">
        <v>39</v>
      </c>
      <c r="K143" s="6" t="s">
        <v>40</v>
      </c>
      <c r="L143" s="6" t="s">
        <v>63</v>
      </c>
      <c r="M143" s="6" t="s">
        <v>41</v>
      </c>
      <c r="N143" s="7" t="n">
        <f aca="false">IFERROR(MOD(TIMEVALUE(M143)-TIMEVALUE(L143),1)*1440,"")</f>
        <v>480</v>
      </c>
      <c r="O143" s="8" t="n">
        <v>20</v>
      </c>
      <c r="P143" s="8" t="n">
        <v>20</v>
      </c>
      <c r="Q143" s="6" t="s">
        <v>97</v>
      </c>
      <c r="R143" s="6" t="s">
        <v>44</v>
      </c>
      <c r="S143" s="7" t="n">
        <f aca="false">IFERROR(N143-N(O143)-N(P143),"")</f>
        <v>440</v>
      </c>
      <c r="T143" s="8" t="n">
        <v>6853</v>
      </c>
      <c r="U143" s="8" t="n">
        <v>491</v>
      </c>
      <c r="V143" s="6" t="s">
        <v>45</v>
      </c>
      <c r="W143" s="8" t="n">
        <v>950</v>
      </c>
      <c r="X143" s="8" t="n">
        <v>6232</v>
      </c>
      <c r="Y143" s="7" t="n">
        <f aca="false">IFERROR(T143/X143*100,"")</f>
        <v>109.964698331194</v>
      </c>
      <c r="Z143" s="7" t="n">
        <f aca="false">IFERROR(S143/N143*100,"")</f>
        <v>91.6666666666667</v>
      </c>
      <c r="AA143" s="7" t="n">
        <f aca="false">IFERROR(T143/(W143*S143/60)*100,"")</f>
        <v>98.3684210526316</v>
      </c>
      <c r="AB143" s="7" t="n">
        <f aca="false">IFERROR(T143/(T143+U143)*100,"")</f>
        <v>93.3142701525055</v>
      </c>
      <c r="AC143" s="7" t="n">
        <f aca="false">IFERROR(Z143*AA143*AB143/10000,"")</f>
        <v>84.1424596519894</v>
      </c>
      <c r="AD143" s="6"/>
    </row>
    <row r="144" customFormat="false" ht="15" hidden="false" customHeight="false" outlineLevel="0" collapsed="false">
      <c r="A144" s="3" t="s">
        <v>227</v>
      </c>
      <c r="B144" s="3" t="s">
        <v>69</v>
      </c>
      <c r="C144" s="3" t="s">
        <v>99</v>
      </c>
      <c r="D144" s="3" t="s">
        <v>71</v>
      </c>
      <c r="E144" s="3" t="s">
        <v>46</v>
      </c>
      <c r="F144" s="3" t="s">
        <v>35</v>
      </c>
      <c r="G144" s="3" t="s">
        <v>238</v>
      </c>
      <c r="H144" s="3" t="s">
        <v>37</v>
      </c>
      <c r="I144" s="3" t="s">
        <v>235</v>
      </c>
      <c r="J144" s="3" t="s">
        <v>55</v>
      </c>
      <c r="K144" s="3" t="s">
        <v>56</v>
      </c>
      <c r="L144" s="3" t="s">
        <v>63</v>
      </c>
      <c r="M144" s="3" t="s">
        <v>41</v>
      </c>
      <c r="N144" s="4" t="n">
        <f aca="false">IFERROR(MOD(TIMEVALUE(M144)-TIMEVALUE(L144),1)*1440,"")</f>
        <v>480</v>
      </c>
      <c r="O144" s="5" t="n">
        <v>15</v>
      </c>
      <c r="P144" s="5" t="n">
        <v>30</v>
      </c>
      <c r="Q144" s="3" t="s">
        <v>95</v>
      </c>
      <c r="R144" s="3" t="s">
        <v>50</v>
      </c>
      <c r="S144" s="4" t="n">
        <f aca="false">IFERROR(N144-N(O144)-N(P144),"")</f>
        <v>435</v>
      </c>
      <c r="T144" s="5" t="n">
        <v>8546</v>
      </c>
      <c r="U144" s="5" t="n">
        <v>117</v>
      </c>
      <c r="V144" s="3" t="s">
        <v>45</v>
      </c>
      <c r="W144" s="5" t="n">
        <v>1200</v>
      </c>
      <c r="X144" s="5" t="n">
        <v>7871</v>
      </c>
      <c r="Y144" s="4" t="n">
        <f aca="false">IFERROR(T144/X144*100,"")</f>
        <v>108.575784525473</v>
      </c>
      <c r="Z144" s="4" t="n">
        <f aca="false">IFERROR(S144/N144*100,"")</f>
        <v>90.625</v>
      </c>
      <c r="AA144" s="4" t="n">
        <f aca="false">IFERROR(T144/(W144*S144/60)*100,"")</f>
        <v>98.2298850574713</v>
      </c>
      <c r="AB144" s="4" t="n">
        <f aca="false">IFERROR(T144/(T144+U144)*100,"")</f>
        <v>98.6494286044096</v>
      </c>
      <c r="AC144" s="4" t="n">
        <f aca="false">IFERROR(Z144*AA144*AB144/10000,"")</f>
        <v>87.8185434222171</v>
      </c>
      <c r="AD144" s="3"/>
    </row>
    <row r="145" customFormat="false" ht="15" hidden="false" customHeight="false" outlineLevel="0" collapsed="false">
      <c r="A145" s="6" t="s">
        <v>227</v>
      </c>
      <c r="B145" s="6" t="s">
        <v>69</v>
      </c>
      <c r="C145" s="6" t="s">
        <v>32</v>
      </c>
      <c r="D145" s="6" t="s">
        <v>71</v>
      </c>
      <c r="E145" s="6" t="s">
        <v>51</v>
      </c>
      <c r="F145" s="6" t="s">
        <v>52</v>
      </c>
      <c r="G145" s="6" t="s">
        <v>239</v>
      </c>
      <c r="H145" s="6" t="s">
        <v>37</v>
      </c>
      <c r="I145" s="6" t="s">
        <v>235</v>
      </c>
      <c r="J145" s="6" t="s">
        <v>39</v>
      </c>
      <c r="K145" s="6" t="s">
        <v>40</v>
      </c>
      <c r="L145" s="6" t="s">
        <v>63</v>
      </c>
      <c r="M145" s="6" t="s">
        <v>41</v>
      </c>
      <c r="N145" s="7" t="n">
        <f aca="false">IFERROR(MOD(TIMEVALUE(M145)-TIMEVALUE(L145),1)*1440,"")</f>
        <v>480</v>
      </c>
      <c r="O145" s="8" t="n">
        <v>0</v>
      </c>
      <c r="P145" s="8" t="n">
        <v>0</v>
      </c>
      <c r="Q145" s="6"/>
      <c r="R145" s="6"/>
      <c r="S145" s="7" t="n">
        <f aca="false">IFERROR(N145-N(O145)-N(P145),"")</f>
        <v>480</v>
      </c>
      <c r="T145" s="8" t="n">
        <v>7030</v>
      </c>
      <c r="U145" s="8" t="n">
        <v>175</v>
      </c>
      <c r="V145" s="6" t="s">
        <v>45</v>
      </c>
      <c r="W145" s="8" t="n">
        <v>950</v>
      </c>
      <c r="X145" s="8" t="n">
        <v>6232</v>
      </c>
      <c r="Y145" s="7" t="n">
        <f aca="false">IFERROR(T145/X145*100,"")</f>
        <v>112.80487804878</v>
      </c>
      <c r="Z145" s="7" t="n">
        <f aca="false">IFERROR(S145/N145*100,"")</f>
        <v>100</v>
      </c>
      <c r="AA145" s="7" t="n">
        <f aca="false">IFERROR(T145/(W145*S145/60)*100,"")</f>
        <v>92.5</v>
      </c>
      <c r="AB145" s="7" t="n">
        <f aca="false">IFERROR(T145/(T145+U145)*100,"")</f>
        <v>97.5711311589174</v>
      </c>
      <c r="AC145" s="7" t="n">
        <f aca="false">IFERROR(Z145*AA145*AB145/10000,"")</f>
        <v>90.2532963219986</v>
      </c>
      <c r="AD145" s="6"/>
    </row>
    <row r="146" customFormat="false" ht="15" hidden="false" customHeight="false" outlineLevel="0" collapsed="false">
      <c r="A146" s="3" t="s">
        <v>232</v>
      </c>
      <c r="B146" s="3" t="s">
        <v>31</v>
      </c>
      <c r="C146" s="3" t="s">
        <v>76</v>
      </c>
      <c r="D146" s="3" t="s">
        <v>33</v>
      </c>
      <c r="E146" s="3" t="s">
        <v>34</v>
      </c>
      <c r="F146" s="3" t="s">
        <v>35</v>
      </c>
      <c r="G146" s="3" t="s">
        <v>240</v>
      </c>
      <c r="H146" s="3" t="s">
        <v>37</v>
      </c>
      <c r="I146" s="3" t="s">
        <v>229</v>
      </c>
      <c r="J146" s="3" t="s">
        <v>39</v>
      </c>
      <c r="K146" s="3" t="s">
        <v>40</v>
      </c>
      <c r="L146" s="3" t="s">
        <v>41</v>
      </c>
      <c r="M146" s="3" t="s">
        <v>42</v>
      </c>
      <c r="N146" s="4" t="n">
        <f aca="false">IFERROR(MOD(TIMEVALUE(M146)-TIMEVALUE(L146),1)*1440,"")</f>
        <v>480</v>
      </c>
      <c r="O146" s="5" t="n">
        <v>15</v>
      </c>
      <c r="P146" s="5" t="n">
        <v>20</v>
      </c>
      <c r="Q146" s="3" t="s">
        <v>43</v>
      </c>
      <c r="R146" s="3" t="s">
        <v>44</v>
      </c>
      <c r="S146" s="4" t="n">
        <f aca="false">IFERROR(N146-N(O146)-N(P146),"")</f>
        <v>445</v>
      </c>
      <c r="T146" s="5" t="n">
        <v>6093</v>
      </c>
      <c r="U146" s="5" t="n">
        <v>349</v>
      </c>
      <c r="V146" s="3" t="s">
        <v>45</v>
      </c>
      <c r="W146" s="5" t="n">
        <v>950</v>
      </c>
      <c r="X146" s="5" t="n">
        <v>6232</v>
      </c>
      <c r="Y146" s="4" t="n">
        <f aca="false">IFERROR(T146/X146*100,"")</f>
        <v>97.7695763799743</v>
      </c>
      <c r="Z146" s="4" t="n">
        <f aca="false">IFERROR(S146/N146*100,"")</f>
        <v>92.7083333333333</v>
      </c>
      <c r="AA146" s="4" t="n">
        <f aca="false">IFERROR(T146/(W146*S146/60)*100,"")</f>
        <v>86.4766410408043</v>
      </c>
      <c r="AB146" s="4" t="n">
        <f aca="false">IFERROR(T146/(T146+U146)*100,"")</f>
        <v>94.582427817448</v>
      </c>
      <c r="AC146" s="4" t="n">
        <f aca="false">IFERROR(Z146*AA146*AB146/10000,"")</f>
        <v>75.8277279857514</v>
      </c>
      <c r="AD146" s="3"/>
    </row>
    <row r="147" customFormat="false" ht="15" hidden="false" customHeight="false" outlineLevel="0" collapsed="false">
      <c r="A147" s="6" t="s">
        <v>232</v>
      </c>
      <c r="B147" s="6" t="s">
        <v>31</v>
      </c>
      <c r="C147" s="6" t="s">
        <v>99</v>
      </c>
      <c r="D147" s="6" t="s">
        <v>33</v>
      </c>
      <c r="E147" s="6" t="s">
        <v>46</v>
      </c>
      <c r="F147" s="6" t="s">
        <v>35</v>
      </c>
      <c r="G147" s="6" t="s">
        <v>241</v>
      </c>
      <c r="H147" s="6" t="s">
        <v>37</v>
      </c>
      <c r="I147" s="6" t="s">
        <v>242</v>
      </c>
      <c r="J147" s="6" t="s">
        <v>39</v>
      </c>
      <c r="K147" s="6" t="s">
        <v>40</v>
      </c>
      <c r="L147" s="6" t="s">
        <v>41</v>
      </c>
      <c r="M147" s="6" t="s">
        <v>42</v>
      </c>
      <c r="N147" s="7" t="n">
        <f aca="false">IFERROR(MOD(TIMEVALUE(M147)-TIMEVALUE(L147),1)*1440,"")</f>
        <v>480</v>
      </c>
      <c r="O147" s="8" t="n">
        <v>45</v>
      </c>
      <c r="P147" s="8" t="n">
        <v>20</v>
      </c>
      <c r="Q147" s="6" t="s">
        <v>57</v>
      </c>
      <c r="R147" s="6" t="s">
        <v>50</v>
      </c>
      <c r="S147" s="7" t="n">
        <f aca="false">IFERROR(N147-N(O147)-N(P147),"")</f>
        <v>415</v>
      </c>
      <c r="T147" s="8" t="n">
        <v>6100</v>
      </c>
      <c r="U147" s="8" t="n">
        <v>72</v>
      </c>
      <c r="V147" s="6" t="s">
        <v>45</v>
      </c>
      <c r="W147" s="8" t="n">
        <v>950</v>
      </c>
      <c r="X147" s="8" t="n">
        <v>6232</v>
      </c>
      <c r="Y147" s="7" t="n">
        <f aca="false">IFERROR(T147/X147*100,"")</f>
        <v>97.8818998716303</v>
      </c>
      <c r="Z147" s="7" t="n">
        <f aca="false">IFERROR(S147/N147*100,"")</f>
        <v>86.4583333333333</v>
      </c>
      <c r="AA147" s="7" t="n">
        <f aca="false">IFERROR(T147/(W147*S147/60)*100,"")</f>
        <v>92.8344958782498</v>
      </c>
      <c r="AB147" s="7" t="n">
        <f aca="false">IFERROR(T147/(T147+U147)*100,"")</f>
        <v>98.8334413480233</v>
      </c>
      <c r="AC147" s="7" t="n">
        <f aca="false">IFERROR(Z147*AA147*AB147/10000,"")</f>
        <v>79.3268410819661</v>
      </c>
      <c r="AD147" s="6"/>
    </row>
    <row r="148" customFormat="false" ht="15" hidden="false" customHeight="false" outlineLevel="0" collapsed="false">
      <c r="A148" s="3" t="s">
        <v>232</v>
      </c>
      <c r="B148" s="3" t="s">
        <v>31</v>
      </c>
      <c r="C148" s="3" t="s">
        <v>59</v>
      </c>
      <c r="D148" s="3" t="s">
        <v>33</v>
      </c>
      <c r="E148" s="3" t="s">
        <v>51</v>
      </c>
      <c r="F148" s="3" t="s">
        <v>52</v>
      </c>
      <c r="G148" s="3" t="s">
        <v>243</v>
      </c>
      <c r="H148" s="3" t="s">
        <v>62</v>
      </c>
      <c r="I148" s="3"/>
      <c r="J148" s="3" t="s">
        <v>55</v>
      </c>
      <c r="K148" s="3" t="s">
        <v>56</v>
      </c>
      <c r="L148" s="3" t="s">
        <v>41</v>
      </c>
      <c r="M148" s="3" t="s">
        <v>42</v>
      </c>
      <c r="N148" s="4" t="n">
        <f aca="false">IFERROR(MOD(TIMEVALUE(M148)-TIMEVALUE(L148),1)*1440,"")</f>
        <v>480</v>
      </c>
      <c r="O148" s="5" t="n">
        <v>30</v>
      </c>
      <c r="P148" s="5" t="n">
        <v>0</v>
      </c>
      <c r="Q148" s="3"/>
      <c r="R148" s="3"/>
      <c r="S148" s="4" t="n">
        <f aca="false">IFERROR(N148-N(O148)-N(P148),"")</f>
        <v>450</v>
      </c>
      <c r="T148" s="5" t="n">
        <v>6560</v>
      </c>
      <c r="U148" s="5" t="n">
        <v>170</v>
      </c>
      <c r="V148" s="3" t="s">
        <v>45</v>
      </c>
      <c r="W148" s="5" t="n">
        <v>1200</v>
      </c>
      <c r="X148" s="5" t="n">
        <v>7871</v>
      </c>
      <c r="Y148" s="4" t="n">
        <f aca="false">IFERROR(T148/X148*100,"")</f>
        <v>83.3439207216364</v>
      </c>
      <c r="Z148" s="4" t="n">
        <f aca="false">IFERROR(S148/N148*100,"")</f>
        <v>93.75</v>
      </c>
      <c r="AA148" s="4" t="n">
        <f aca="false">IFERROR(T148/(W148*S148/60)*100,"")</f>
        <v>72.8888888888889</v>
      </c>
      <c r="AB148" s="4" t="n">
        <f aca="false">IFERROR(T148/(T148+U148)*100,"")</f>
        <v>97.4739970282318</v>
      </c>
      <c r="AC148" s="4" t="n">
        <f aca="false">IFERROR(Z148*AA148*AB148/10000,"")</f>
        <v>66.6072313026251</v>
      </c>
      <c r="AD148" s="3"/>
    </row>
    <row r="149" customFormat="false" ht="15" hidden="false" customHeight="false" outlineLevel="0" collapsed="false">
      <c r="A149" s="6" t="s">
        <v>232</v>
      </c>
      <c r="B149" s="6" t="s">
        <v>58</v>
      </c>
      <c r="C149" s="6" t="s">
        <v>76</v>
      </c>
      <c r="D149" s="6" t="s">
        <v>60</v>
      </c>
      <c r="E149" s="6" t="s">
        <v>34</v>
      </c>
      <c r="F149" s="6" t="s">
        <v>35</v>
      </c>
      <c r="G149" s="6" t="s">
        <v>244</v>
      </c>
      <c r="H149" s="6" t="s">
        <v>37</v>
      </c>
      <c r="I149" s="6" t="s">
        <v>235</v>
      </c>
      <c r="J149" s="6" t="s">
        <v>55</v>
      </c>
      <c r="K149" s="6" t="s">
        <v>56</v>
      </c>
      <c r="L149" s="6" t="s">
        <v>42</v>
      </c>
      <c r="M149" s="6" t="s">
        <v>63</v>
      </c>
      <c r="N149" s="7" t="n">
        <f aca="false">IFERROR(MOD(TIMEVALUE(M149)-TIMEVALUE(L149),1)*1440,"")</f>
        <v>480</v>
      </c>
      <c r="O149" s="8" t="n">
        <v>15</v>
      </c>
      <c r="P149" s="8" t="n">
        <v>0</v>
      </c>
      <c r="Q149" s="6"/>
      <c r="R149" s="6"/>
      <c r="S149" s="7" t="n">
        <f aca="false">IFERROR(N149-N(O149)-N(P149),"")</f>
        <v>465</v>
      </c>
      <c r="T149" s="8" t="n">
        <v>8985</v>
      </c>
      <c r="U149" s="8" t="n">
        <v>527</v>
      </c>
      <c r="V149" s="6" t="s">
        <v>45</v>
      </c>
      <c r="W149" s="8" t="n">
        <v>1200</v>
      </c>
      <c r="X149" s="8" t="n">
        <v>7871</v>
      </c>
      <c r="Y149" s="7" t="n">
        <f aca="false">IFERROR(T149/X149*100,"")</f>
        <v>114.153220683522</v>
      </c>
      <c r="Z149" s="7" t="n">
        <f aca="false">IFERROR(S149/N149*100,"")</f>
        <v>96.875</v>
      </c>
      <c r="AA149" s="7" t="n">
        <f aca="false">IFERROR(T149/(W149*S149/60)*100,"")</f>
        <v>96.6129032258065</v>
      </c>
      <c r="AB149" s="7" t="n">
        <f aca="false">IFERROR(T149/(T149+U149)*100,"")</f>
        <v>94.459629941127</v>
      </c>
      <c r="AC149" s="7" t="n">
        <f aca="false">IFERROR(Z149*AA149*AB149/10000,"")</f>
        <v>88.4083098980236</v>
      </c>
      <c r="AD149" s="6"/>
    </row>
    <row r="150" customFormat="false" ht="15" hidden="false" customHeight="false" outlineLevel="0" collapsed="false">
      <c r="A150" s="3" t="s">
        <v>232</v>
      </c>
      <c r="B150" s="3" t="s">
        <v>58</v>
      </c>
      <c r="C150" s="3" t="s">
        <v>32</v>
      </c>
      <c r="D150" s="3" t="s">
        <v>60</v>
      </c>
      <c r="E150" s="3" t="s">
        <v>46</v>
      </c>
      <c r="F150" s="3" t="s">
        <v>35</v>
      </c>
      <c r="G150" s="3" t="s">
        <v>245</v>
      </c>
      <c r="H150" s="3" t="s">
        <v>62</v>
      </c>
      <c r="I150" s="3"/>
      <c r="J150" s="3" t="s">
        <v>39</v>
      </c>
      <c r="K150" s="3" t="s">
        <v>40</v>
      </c>
      <c r="L150" s="3" t="s">
        <v>42</v>
      </c>
      <c r="M150" s="3" t="s">
        <v>63</v>
      </c>
      <c r="N150" s="4" t="n">
        <f aca="false">IFERROR(MOD(TIMEVALUE(M150)-TIMEVALUE(L150),1)*1440,"")</f>
        <v>480</v>
      </c>
      <c r="O150" s="5" t="n">
        <v>0</v>
      </c>
      <c r="P150" s="5" t="n">
        <v>70</v>
      </c>
      <c r="Q150" s="3" t="s">
        <v>43</v>
      </c>
      <c r="R150" s="3" t="s">
        <v>44</v>
      </c>
      <c r="S150" s="4" t="n">
        <f aca="false">IFERROR(N150-N(O150)-N(P150),"")</f>
        <v>410</v>
      </c>
      <c r="T150" s="5" t="n">
        <v>6187</v>
      </c>
      <c r="U150" s="5" t="n">
        <v>49</v>
      </c>
      <c r="V150" s="3" t="s">
        <v>45</v>
      </c>
      <c r="W150" s="5" t="n">
        <v>950</v>
      </c>
      <c r="X150" s="5" t="n">
        <v>6232</v>
      </c>
      <c r="Y150" s="4" t="n">
        <f aca="false">IFERROR(T150/X150*100,"")</f>
        <v>99.2779204107831</v>
      </c>
      <c r="Z150" s="4" t="n">
        <f aca="false">IFERROR(S150/N150*100,"")</f>
        <v>85.4166666666667</v>
      </c>
      <c r="AA150" s="4" t="n">
        <f aca="false">IFERROR(T150/(W150*S150/60)*100,"")</f>
        <v>95.3068035943517</v>
      </c>
      <c r="AB150" s="4" t="n">
        <f aca="false">IFERROR(T150/(T150+U150)*100,"")</f>
        <v>99.2142398973701</v>
      </c>
      <c r="AC150" s="4" t="n">
        <f aca="false">IFERROR(Z150*AA150*AB150/10000,"")</f>
        <v>80.7682239796091</v>
      </c>
      <c r="AD150" s="3"/>
    </row>
    <row r="151" customFormat="false" ht="15" hidden="false" customHeight="false" outlineLevel="0" collapsed="false">
      <c r="A151" s="6" t="s">
        <v>232</v>
      </c>
      <c r="B151" s="6" t="s">
        <v>58</v>
      </c>
      <c r="C151" s="6" t="s">
        <v>67</v>
      </c>
      <c r="D151" s="6" t="s">
        <v>60</v>
      </c>
      <c r="E151" s="6" t="s">
        <v>51</v>
      </c>
      <c r="F151" s="6" t="s">
        <v>52</v>
      </c>
      <c r="G151" s="6" t="s">
        <v>246</v>
      </c>
      <c r="H151" s="6" t="s">
        <v>37</v>
      </c>
      <c r="I151" s="6" t="s">
        <v>229</v>
      </c>
      <c r="J151" s="6" t="s">
        <v>39</v>
      </c>
      <c r="K151" s="6" t="s">
        <v>40</v>
      </c>
      <c r="L151" s="6" t="s">
        <v>42</v>
      </c>
      <c r="M151" s="6" t="s">
        <v>63</v>
      </c>
      <c r="N151" s="7" t="n">
        <f aca="false">IFERROR(MOD(TIMEVALUE(M151)-TIMEVALUE(L151),1)*1440,"")</f>
        <v>480</v>
      </c>
      <c r="O151" s="8" t="n">
        <v>30</v>
      </c>
      <c r="P151" s="8" t="n">
        <v>0</v>
      </c>
      <c r="Q151" s="6"/>
      <c r="R151" s="6"/>
      <c r="S151" s="7" t="n">
        <f aca="false">IFERROR(N151-N(O151)-N(P151),"")</f>
        <v>450</v>
      </c>
      <c r="T151" s="8" t="n">
        <v>6727</v>
      </c>
      <c r="U151" s="8" t="n">
        <v>128</v>
      </c>
      <c r="V151" s="6" t="s">
        <v>45</v>
      </c>
      <c r="W151" s="8" t="n">
        <v>950</v>
      </c>
      <c r="X151" s="8" t="n">
        <v>6232</v>
      </c>
      <c r="Y151" s="7" t="n">
        <f aca="false">IFERROR(T151/X151*100,"")</f>
        <v>107.942875481386</v>
      </c>
      <c r="Z151" s="7" t="n">
        <f aca="false">IFERROR(S151/N151*100,"")</f>
        <v>93.75</v>
      </c>
      <c r="AA151" s="7" t="n">
        <f aca="false">IFERROR(T151/(W151*S151/60)*100,"")</f>
        <v>94.4140350877193</v>
      </c>
      <c r="AB151" s="7" t="n">
        <f aca="false">IFERROR(T151/(T151+U151)*100,"")</f>
        <v>98.1327498176514</v>
      </c>
      <c r="AC151" s="7" t="n">
        <f aca="false">IFERROR(Z151*AA151*AB151/10000,"")</f>
        <v>86.8603957925448</v>
      </c>
      <c r="AD151" s="6"/>
    </row>
    <row r="152" customFormat="false" ht="15" hidden="false" customHeight="false" outlineLevel="0" collapsed="false">
      <c r="A152" s="3" t="s">
        <v>232</v>
      </c>
      <c r="B152" s="3" t="s">
        <v>69</v>
      </c>
      <c r="C152" s="3" t="s">
        <v>67</v>
      </c>
      <c r="D152" s="3" t="s">
        <v>71</v>
      </c>
      <c r="E152" s="3" t="s">
        <v>34</v>
      </c>
      <c r="F152" s="3" t="s">
        <v>35</v>
      </c>
      <c r="G152" s="3" t="s">
        <v>247</v>
      </c>
      <c r="H152" s="3" t="s">
        <v>37</v>
      </c>
      <c r="I152" s="3" t="s">
        <v>235</v>
      </c>
      <c r="J152" s="3" t="s">
        <v>55</v>
      </c>
      <c r="K152" s="3" t="s">
        <v>56</v>
      </c>
      <c r="L152" s="3" t="s">
        <v>63</v>
      </c>
      <c r="M152" s="3" t="s">
        <v>41</v>
      </c>
      <c r="N152" s="4" t="n">
        <f aca="false">IFERROR(MOD(TIMEVALUE(M152)-TIMEVALUE(L152),1)*1440,"")</f>
        <v>480</v>
      </c>
      <c r="O152" s="5" t="n">
        <v>15</v>
      </c>
      <c r="P152" s="5" t="n">
        <v>65</v>
      </c>
      <c r="Q152" s="3" t="s">
        <v>57</v>
      </c>
      <c r="R152" s="3" t="s">
        <v>50</v>
      </c>
      <c r="S152" s="4" t="n">
        <f aca="false">IFERROR(N152-N(O152)-N(P152),"")</f>
        <v>400</v>
      </c>
      <c r="T152" s="5" t="n">
        <v>6906</v>
      </c>
      <c r="U152" s="5" t="n">
        <v>164</v>
      </c>
      <c r="V152" s="3" t="s">
        <v>45</v>
      </c>
      <c r="W152" s="5" t="n">
        <v>1200</v>
      </c>
      <c r="X152" s="5" t="n">
        <v>7871</v>
      </c>
      <c r="Y152" s="4" t="n">
        <f aca="false">IFERROR(T152/X152*100,"")</f>
        <v>87.7398043450642</v>
      </c>
      <c r="Z152" s="4" t="n">
        <f aca="false">IFERROR(S152/N152*100,"")</f>
        <v>83.3333333333333</v>
      </c>
      <c r="AA152" s="4" t="n">
        <f aca="false">IFERROR(T152/(W152*S152/60)*100,"")</f>
        <v>86.325</v>
      </c>
      <c r="AB152" s="4" t="n">
        <f aca="false">IFERROR(T152/(T152+U152)*100,"")</f>
        <v>97.6803394625177</v>
      </c>
      <c r="AC152" s="4" t="n">
        <f aca="false">IFERROR(Z152*AA152*AB152/10000,"")</f>
        <v>70.2687942008487</v>
      </c>
      <c r="AD152" s="3" t="s">
        <v>248</v>
      </c>
    </row>
    <row r="153" customFormat="false" ht="15" hidden="false" customHeight="false" outlineLevel="0" collapsed="false">
      <c r="A153" s="6" t="s">
        <v>232</v>
      </c>
      <c r="B153" s="6" t="s">
        <v>69</v>
      </c>
      <c r="C153" s="6" t="s">
        <v>70</v>
      </c>
      <c r="D153" s="6" t="s">
        <v>71</v>
      </c>
      <c r="E153" s="6" t="s">
        <v>46</v>
      </c>
      <c r="F153" s="6" t="s">
        <v>35</v>
      </c>
      <c r="G153" s="6" t="s">
        <v>249</v>
      </c>
      <c r="H153" s="6" t="s">
        <v>37</v>
      </c>
      <c r="I153" s="6" t="s">
        <v>229</v>
      </c>
      <c r="J153" s="6" t="s">
        <v>65</v>
      </c>
      <c r="K153" s="6" t="s">
        <v>66</v>
      </c>
      <c r="L153" s="6" t="s">
        <v>63</v>
      </c>
      <c r="M153" s="6" t="s">
        <v>41</v>
      </c>
      <c r="N153" s="7" t="n">
        <f aca="false">IFERROR(MOD(TIMEVALUE(M153)-TIMEVALUE(L153),1)*1440,"")</f>
        <v>480</v>
      </c>
      <c r="O153" s="8" t="n">
        <v>20</v>
      </c>
      <c r="P153" s="8" t="n">
        <v>85</v>
      </c>
      <c r="Q153" s="6" t="s">
        <v>87</v>
      </c>
      <c r="R153" s="6" t="s">
        <v>50</v>
      </c>
      <c r="S153" s="7" t="n">
        <f aca="false">IFERROR(N153-N(O153)-N(P153),"")</f>
        <v>375</v>
      </c>
      <c r="T153" s="8" t="n">
        <v>8111</v>
      </c>
      <c r="U153" s="8" t="n">
        <v>106</v>
      </c>
      <c r="V153" s="6" t="s">
        <v>45</v>
      </c>
      <c r="W153" s="8" t="n">
        <v>1400</v>
      </c>
      <c r="X153" s="8" t="n">
        <v>9184</v>
      </c>
      <c r="Y153" s="7" t="n">
        <f aca="false">IFERROR(T153/X153*100,"")</f>
        <v>88.316637630662</v>
      </c>
      <c r="Z153" s="7" t="n">
        <f aca="false">IFERROR(S153/N153*100,"")</f>
        <v>78.125</v>
      </c>
      <c r="AA153" s="7" t="n">
        <f aca="false">IFERROR(T153/(W153*S153/60)*100,"")</f>
        <v>92.6971428571428</v>
      </c>
      <c r="AB153" s="7" t="n">
        <f aca="false">IFERROR(T153/(T153+U153)*100,"")</f>
        <v>98.7099914810758</v>
      </c>
      <c r="AC153" s="7" t="n">
        <f aca="false">IFERROR(Z153*AA153*AB153/10000,"")</f>
        <v>71.4854232949112</v>
      </c>
      <c r="AD153" s="6"/>
    </row>
    <row r="154" customFormat="false" ht="15" hidden="false" customHeight="false" outlineLevel="0" collapsed="false">
      <c r="A154" s="3" t="s">
        <v>232</v>
      </c>
      <c r="B154" s="3" t="s">
        <v>69</v>
      </c>
      <c r="C154" s="3" t="s">
        <v>32</v>
      </c>
      <c r="D154" s="3" t="s">
        <v>71</v>
      </c>
      <c r="E154" s="3" t="s">
        <v>51</v>
      </c>
      <c r="F154" s="3" t="s">
        <v>52</v>
      </c>
      <c r="G154" s="3" t="s">
        <v>250</v>
      </c>
      <c r="H154" s="3" t="s">
        <v>37</v>
      </c>
      <c r="I154" s="3" t="s">
        <v>229</v>
      </c>
      <c r="J154" s="3" t="s">
        <v>65</v>
      </c>
      <c r="K154" s="3" t="s">
        <v>66</v>
      </c>
      <c r="L154" s="3" t="s">
        <v>63</v>
      </c>
      <c r="M154" s="3" t="s">
        <v>41</v>
      </c>
      <c r="N154" s="4" t="n">
        <f aca="false">IFERROR(MOD(TIMEVALUE(M154)-TIMEVALUE(L154),1)*1440,"")</f>
        <v>480</v>
      </c>
      <c r="O154" s="5" t="n">
        <v>45</v>
      </c>
      <c r="P154" s="5" t="n">
        <v>30</v>
      </c>
      <c r="Q154" s="3" t="s">
        <v>95</v>
      </c>
      <c r="R154" s="3" t="s">
        <v>50</v>
      </c>
      <c r="S154" s="4" t="n">
        <f aca="false">IFERROR(N154-N(O154)-N(P154),"")</f>
        <v>405</v>
      </c>
      <c r="T154" s="5" t="n">
        <v>8713</v>
      </c>
      <c r="U154" s="5" t="n">
        <v>77</v>
      </c>
      <c r="V154" s="3" t="s">
        <v>45</v>
      </c>
      <c r="W154" s="5" t="n">
        <v>1400</v>
      </c>
      <c r="X154" s="5" t="n">
        <v>9184</v>
      </c>
      <c r="Y154" s="4" t="n">
        <f aca="false">IFERROR(T154/X154*100,"")</f>
        <v>94.8715156794425</v>
      </c>
      <c r="Z154" s="4" t="n">
        <f aca="false">IFERROR(S154/N154*100,"")</f>
        <v>84.375</v>
      </c>
      <c r="AA154" s="4" t="n">
        <f aca="false">IFERROR(T154/(W154*S154/60)*100,"")</f>
        <v>92.2010582010582</v>
      </c>
      <c r="AB154" s="4" t="n">
        <f aca="false">IFERROR(T154/(T154+U154)*100,"")</f>
        <v>99.1240045506257</v>
      </c>
      <c r="AC154" s="4" t="n">
        <f aca="false">IFERROR(Z154*AA154*AB154/10000,"")</f>
        <v>77.1131653258573</v>
      </c>
      <c r="AD154" s="3"/>
    </row>
    <row r="155" customFormat="false" ht="15" hidden="false" customHeight="false" outlineLevel="0" collapsed="false">
      <c r="A155" s="6" t="s">
        <v>235</v>
      </c>
      <c r="B155" s="6" t="s">
        <v>31</v>
      </c>
      <c r="C155" s="6" t="s">
        <v>67</v>
      </c>
      <c r="D155" s="6" t="s">
        <v>33</v>
      </c>
      <c r="E155" s="6" t="s">
        <v>34</v>
      </c>
      <c r="F155" s="6" t="s">
        <v>35</v>
      </c>
      <c r="G155" s="6" t="s">
        <v>251</v>
      </c>
      <c r="H155" s="6" t="s">
        <v>37</v>
      </c>
      <c r="I155" s="6" t="s">
        <v>242</v>
      </c>
      <c r="J155" s="6" t="s">
        <v>55</v>
      </c>
      <c r="K155" s="6" t="s">
        <v>56</v>
      </c>
      <c r="L155" s="6" t="s">
        <v>41</v>
      </c>
      <c r="M155" s="6" t="s">
        <v>42</v>
      </c>
      <c r="N155" s="7" t="n">
        <f aca="false">IFERROR(MOD(TIMEVALUE(M155)-TIMEVALUE(L155),1)*1440,"")</f>
        <v>480</v>
      </c>
      <c r="O155" s="8" t="n">
        <v>0</v>
      </c>
      <c r="P155" s="8" t="n">
        <v>50</v>
      </c>
      <c r="Q155" s="6" t="s">
        <v>97</v>
      </c>
      <c r="R155" s="6" t="s">
        <v>44</v>
      </c>
      <c r="S155" s="7" t="n">
        <f aca="false">IFERROR(N155-N(O155)-N(P155),"")</f>
        <v>430</v>
      </c>
      <c r="T155" s="8" t="n">
        <v>6966</v>
      </c>
      <c r="U155" s="8" t="n">
        <v>196</v>
      </c>
      <c r="V155" s="6" t="s">
        <v>45</v>
      </c>
      <c r="W155" s="8" t="n">
        <v>1200</v>
      </c>
      <c r="X155" s="8" t="n">
        <v>7871</v>
      </c>
      <c r="Y155" s="7" t="n">
        <f aca="false">IFERROR(T155/X155*100,"")</f>
        <v>88.502096302884</v>
      </c>
      <c r="Z155" s="7" t="n">
        <f aca="false">IFERROR(S155/N155*100,"")</f>
        <v>89.5833333333333</v>
      </c>
      <c r="AA155" s="7" t="n">
        <f aca="false">IFERROR(T155/(W155*S155/60)*100,"")</f>
        <v>81</v>
      </c>
      <c r="AB155" s="7" t="n">
        <f aca="false">IFERROR(T155/(T155+U155)*100,"")</f>
        <v>97.263334264172</v>
      </c>
      <c r="AC155" s="7" t="n">
        <f aca="false">IFERROR(Z155*AA155*AB155/10000,"")</f>
        <v>70.5767069254398</v>
      </c>
      <c r="AD155" s="6"/>
    </row>
    <row r="156" customFormat="false" ht="15" hidden="false" customHeight="false" outlineLevel="0" collapsed="false">
      <c r="A156" s="3" t="s">
        <v>235</v>
      </c>
      <c r="B156" s="3" t="s">
        <v>31</v>
      </c>
      <c r="C156" s="3" t="s">
        <v>70</v>
      </c>
      <c r="D156" s="3" t="s">
        <v>33</v>
      </c>
      <c r="E156" s="3" t="s">
        <v>46</v>
      </c>
      <c r="F156" s="3" t="s">
        <v>35</v>
      </c>
      <c r="G156" s="3" t="s">
        <v>252</v>
      </c>
      <c r="H156" s="3" t="s">
        <v>37</v>
      </c>
      <c r="I156" s="3" t="s">
        <v>242</v>
      </c>
      <c r="J156" s="3" t="s">
        <v>65</v>
      </c>
      <c r="K156" s="3" t="s">
        <v>66</v>
      </c>
      <c r="L156" s="3" t="s">
        <v>41</v>
      </c>
      <c r="M156" s="3" t="s">
        <v>42</v>
      </c>
      <c r="N156" s="4" t="n">
        <f aca="false">IFERROR(MOD(TIMEVALUE(M156)-TIMEVALUE(L156),1)*1440,"")</f>
        <v>480</v>
      </c>
      <c r="O156" s="5" t="n">
        <v>0</v>
      </c>
      <c r="P156" s="5" t="n">
        <v>0</v>
      </c>
      <c r="Q156" s="3"/>
      <c r="R156" s="3"/>
      <c r="S156" s="4" t="n">
        <f aca="false">IFERROR(N156-N(O156)-N(P156),"")</f>
        <v>480</v>
      </c>
      <c r="T156" s="5" t="n">
        <v>9336</v>
      </c>
      <c r="U156" s="5" t="n">
        <v>141</v>
      </c>
      <c r="V156" s="3" t="s">
        <v>45</v>
      </c>
      <c r="W156" s="5" t="n">
        <v>1400</v>
      </c>
      <c r="X156" s="5" t="n">
        <v>9184</v>
      </c>
      <c r="Y156" s="4" t="n">
        <f aca="false">IFERROR(T156/X156*100,"")</f>
        <v>101.655052264808</v>
      </c>
      <c r="Z156" s="4" t="n">
        <f aca="false">IFERROR(S156/N156*100,"")</f>
        <v>100</v>
      </c>
      <c r="AA156" s="4" t="n">
        <f aca="false">IFERROR(T156/(W156*S156/60)*100,"")</f>
        <v>83.3571428571429</v>
      </c>
      <c r="AB156" s="4" t="n">
        <f aca="false">IFERROR(T156/(T156+U156)*100,"")</f>
        <v>98.5121874010763</v>
      </c>
      <c r="AC156" s="4" t="n">
        <f aca="false">IFERROR(Z156*AA156*AB156/10000,"")</f>
        <v>82.1169447836114</v>
      </c>
      <c r="AD156" s="3"/>
    </row>
    <row r="157" customFormat="false" ht="15" hidden="false" customHeight="false" outlineLevel="0" collapsed="false">
      <c r="A157" s="6" t="s">
        <v>235</v>
      </c>
      <c r="B157" s="6" t="s">
        <v>31</v>
      </c>
      <c r="C157" s="6" t="s">
        <v>70</v>
      </c>
      <c r="D157" s="6" t="s">
        <v>33</v>
      </c>
      <c r="E157" s="6" t="s">
        <v>51</v>
      </c>
      <c r="F157" s="6" t="s">
        <v>52</v>
      </c>
      <c r="G157" s="6" t="s">
        <v>253</v>
      </c>
      <c r="H157" s="6" t="s">
        <v>62</v>
      </c>
      <c r="I157" s="6"/>
      <c r="J157" s="6" t="s">
        <v>65</v>
      </c>
      <c r="K157" s="6" t="s">
        <v>66</v>
      </c>
      <c r="L157" s="6" t="s">
        <v>41</v>
      </c>
      <c r="M157" s="6" t="s">
        <v>42</v>
      </c>
      <c r="N157" s="7" t="n">
        <f aca="false">IFERROR(MOD(TIMEVALUE(M157)-TIMEVALUE(L157),1)*1440,"")</f>
        <v>480</v>
      </c>
      <c r="O157" s="8" t="n">
        <v>45</v>
      </c>
      <c r="P157" s="8" t="n">
        <v>45</v>
      </c>
      <c r="Q157" s="6" t="s">
        <v>97</v>
      </c>
      <c r="R157" s="6" t="s">
        <v>44</v>
      </c>
      <c r="S157" s="7" t="n">
        <f aca="false">IFERROR(N157-N(O157)-N(P157),"")</f>
        <v>390</v>
      </c>
      <c r="T157" s="8" t="n">
        <v>8717</v>
      </c>
      <c r="U157" s="8" t="n">
        <v>119</v>
      </c>
      <c r="V157" s="6" t="s">
        <v>45</v>
      </c>
      <c r="W157" s="8" t="n">
        <v>1400</v>
      </c>
      <c r="X157" s="8" t="n">
        <v>9184</v>
      </c>
      <c r="Y157" s="7" t="n">
        <f aca="false">IFERROR(T157/X157*100,"")</f>
        <v>94.9150696864111</v>
      </c>
      <c r="Z157" s="7" t="n">
        <f aca="false">IFERROR(S157/N157*100,"")</f>
        <v>81.25</v>
      </c>
      <c r="AA157" s="7" t="n">
        <f aca="false">IFERROR(T157/(W157*S157/60)*100,"")</f>
        <v>95.7912087912088</v>
      </c>
      <c r="AB157" s="7" t="n">
        <f aca="false">IFERROR(T157/(T157+U157)*100,"")</f>
        <v>98.6532367587143</v>
      </c>
      <c r="AC157" s="7" t="n">
        <f aca="false">IFERROR(Z157*AA157*AB157/10000,"")</f>
        <v>76.7821665022958</v>
      </c>
      <c r="AD157" s="6"/>
    </row>
    <row r="158" customFormat="false" ht="15" hidden="false" customHeight="false" outlineLevel="0" collapsed="false">
      <c r="A158" s="3" t="s">
        <v>235</v>
      </c>
      <c r="B158" s="3" t="s">
        <v>58</v>
      </c>
      <c r="C158" s="3" t="s">
        <v>32</v>
      </c>
      <c r="D158" s="3" t="s">
        <v>60</v>
      </c>
      <c r="E158" s="3" t="s">
        <v>34</v>
      </c>
      <c r="F158" s="3" t="s">
        <v>35</v>
      </c>
      <c r="G158" s="3" t="s">
        <v>254</v>
      </c>
      <c r="H158" s="3" t="s">
        <v>62</v>
      </c>
      <c r="I158" s="3"/>
      <c r="J158" s="3" t="s">
        <v>55</v>
      </c>
      <c r="K158" s="3" t="s">
        <v>56</v>
      </c>
      <c r="L158" s="3" t="s">
        <v>42</v>
      </c>
      <c r="M158" s="3" t="s">
        <v>63</v>
      </c>
      <c r="N158" s="4" t="n">
        <f aca="false">IFERROR(MOD(TIMEVALUE(M158)-TIMEVALUE(L158),1)*1440,"")</f>
        <v>480</v>
      </c>
      <c r="O158" s="5" t="n">
        <v>30</v>
      </c>
      <c r="P158" s="5" t="n">
        <v>60</v>
      </c>
      <c r="Q158" s="3" t="s">
        <v>95</v>
      </c>
      <c r="R158" s="3" t="s">
        <v>50</v>
      </c>
      <c r="S158" s="4" t="n">
        <f aca="false">IFERROR(N158-N(O158)-N(P158),"")</f>
        <v>390</v>
      </c>
      <c r="T158" s="5" t="n">
        <v>7663</v>
      </c>
      <c r="U158" s="5" t="n">
        <v>64</v>
      </c>
      <c r="V158" s="3" t="s">
        <v>45</v>
      </c>
      <c r="W158" s="5" t="n">
        <v>1200</v>
      </c>
      <c r="X158" s="5" t="n">
        <v>7871</v>
      </c>
      <c r="Y158" s="4" t="n">
        <f aca="false">IFERROR(T158/X158*100,"")</f>
        <v>97.3573878795579</v>
      </c>
      <c r="Z158" s="4" t="n">
        <f aca="false">IFERROR(S158/N158*100,"")</f>
        <v>81.25</v>
      </c>
      <c r="AA158" s="4" t="n">
        <f aca="false">IFERROR(T158/(W158*S158/60)*100,"")</f>
        <v>98.2435897435897</v>
      </c>
      <c r="AB158" s="4" t="n">
        <f aca="false">IFERROR(T158/(T158+U158)*100,"")</f>
        <v>99.1717354730167</v>
      </c>
      <c r="AC158" s="4" t="n">
        <f aca="false">IFERROR(Z158*AA158*AB158/10000,"")</f>
        <v>79.1617717635132</v>
      </c>
      <c r="AD158" s="3"/>
    </row>
    <row r="159" customFormat="false" ht="15" hidden="false" customHeight="false" outlineLevel="0" collapsed="false">
      <c r="A159" s="6" t="s">
        <v>235</v>
      </c>
      <c r="B159" s="6" t="s">
        <v>58</v>
      </c>
      <c r="C159" s="6" t="s">
        <v>59</v>
      </c>
      <c r="D159" s="6" t="s">
        <v>60</v>
      </c>
      <c r="E159" s="6" t="s">
        <v>46</v>
      </c>
      <c r="F159" s="6" t="s">
        <v>35</v>
      </c>
      <c r="G159" s="6" t="s">
        <v>255</v>
      </c>
      <c r="H159" s="6" t="s">
        <v>62</v>
      </c>
      <c r="I159" s="6"/>
      <c r="J159" s="6" t="s">
        <v>55</v>
      </c>
      <c r="K159" s="6" t="s">
        <v>56</v>
      </c>
      <c r="L159" s="6" t="s">
        <v>42</v>
      </c>
      <c r="M159" s="6" t="s">
        <v>63</v>
      </c>
      <c r="N159" s="7" t="n">
        <f aca="false">IFERROR(MOD(TIMEVALUE(M159)-TIMEVALUE(L159),1)*1440,"")</f>
        <v>480</v>
      </c>
      <c r="O159" s="8" t="n">
        <v>20</v>
      </c>
      <c r="P159" s="8" t="n">
        <v>110</v>
      </c>
      <c r="Q159" s="6" t="s">
        <v>49</v>
      </c>
      <c r="R159" s="6" t="s">
        <v>50</v>
      </c>
      <c r="S159" s="7" t="n">
        <f aca="false">IFERROR(N159-N(O159)-N(P159),"")</f>
        <v>350</v>
      </c>
      <c r="T159" s="8" t="n">
        <v>5396</v>
      </c>
      <c r="U159" s="8" t="n">
        <v>72</v>
      </c>
      <c r="V159" s="6" t="s">
        <v>45</v>
      </c>
      <c r="W159" s="8" t="n">
        <v>1200</v>
      </c>
      <c r="X159" s="8" t="n">
        <v>7871</v>
      </c>
      <c r="Y159" s="7" t="n">
        <f aca="false">IFERROR(T159/X159*100,"")</f>
        <v>68.5554567399314</v>
      </c>
      <c r="Z159" s="7" t="n">
        <f aca="false">IFERROR(S159/N159*100,"")</f>
        <v>72.9166666666667</v>
      </c>
      <c r="AA159" s="7" t="n">
        <f aca="false">IFERROR(T159/(W159*S159/60)*100,"")</f>
        <v>77.0857142857143</v>
      </c>
      <c r="AB159" s="7" t="n">
        <f aca="false">IFERROR(T159/(T159+U159)*100,"")</f>
        <v>98.6832479882956</v>
      </c>
      <c r="AC159" s="7" t="n">
        <f aca="false">IFERROR(Z159*AA159*AB159/10000,"")</f>
        <v>55.4682089734211</v>
      </c>
      <c r="AD159" s="6"/>
    </row>
    <row r="160" customFormat="false" ht="15" hidden="false" customHeight="false" outlineLevel="0" collapsed="false">
      <c r="A160" s="3" t="s">
        <v>235</v>
      </c>
      <c r="B160" s="3" t="s">
        <v>58</v>
      </c>
      <c r="C160" s="3" t="s">
        <v>70</v>
      </c>
      <c r="D160" s="3" t="s">
        <v>60</v>
      </c>
      <c r="E160" s="3" t="s">
        <v>51</v>
      </c>
      <c r="F160" s="3" t="s">
        <v>52</v>
      </c>
      <c r="G160" s="3" t="s">
        <v>256</v>
      </c>
      <c r="H160" s="3" t="s">
        <v>62</v>
      </c>
      <c r="I160" s="3"/>
      <c r="J160" s="3" t="s">
        <v>65</v>
      </c>
      <c r="K160" s="3" t="s">
        <v>66</v>
      </c>
      <c r="L160" s="3" t="s">
        <v>42</v>
      </c>
      <c r="M160" s="3" t="s">
        <v>63</v>
      </c>
      <c r="N160" s="4" t="n">
        <f aca="false">IFERROR(MOD(TIMEVALUE(M160)-TIMEVALUE(L160),1)*1440,"")</f>
        <v>480</v>
      </c>
      <c r="O160" s="5" t="n">
        <v>0</v>
      </c>
      <c r="P160" s="5" t="n">
        <v>90</v>
      </c>
      <c r="Q160" s="3" t="s">
        <v>97</v>
      </c>
      <c r="R160" s="3" t="s">
        <v>44</v>
      </c>
      <c r="S160" s="4" t="n">
        <f aca="false">IFERROR(N160-N(O160)-N(P160),"")</f>
        <v>390</v>
      </c>
      <c r="T160" s="5" t="n">
        <v>8079</v>
      </c>
      <c r="U160" s="5" t="n">
        <v>155</v>
      </c>
      <c r="V160" s="3" t="s">
        <v>45</v>
      </c>
      <c r="W160" s="5" t="n">
        <v>1400</v>
      </c>
      <c r="X160" s="5" t="n">
        <v>9184</v>
      </c>
      <c r="Y160" s="4" t="n">
        <f aca="false">IFERROR(T160/X160*100,"")</f>
        <v>87.9682055749129</v>
      </c>
      <c r="Z160" s="4" t="n">
        <f aca="false">IFERROR(S160/N160*100,"")</f>
        <v>81.25</v>
      </c>
      <c r="AA160" s="4" t="n">
        <f aca="false">IFERROR(T160/(W160*S160/60)*100,"")</f>
        <v>88.7802197802198</v>
      </c>
      <c r="AB160" s="4" t="n">
        <f aca="false">IFERROR(T160/(T160+U160)*100,"")</f>
        <v>98.1175613310663</v>
      </c>
      <c r="AC160" s="4" t="n">
        <f aca="false">IFERROR(Z160*AA160*AB160/10000,"")</f>
        <v>70.776051606579</v>
      </c>
      <c r="AD160" s="3"/>
    </row>
    <row r="161" customFormat="false" ht="15" hidden="false" customHeight="false" outlineLevel="0" collapsed="false">
      <c r="A161" s="6" t="s">
        <v>235</v>
      </c>
      <c r="B161" s="6" t="s">
        <v>69</v>
      </c>
      <c r="C161" s="6" t="s">
        <v>99</v>
      </c>
      <c r="D161" s="6" t="s">
        <v>71</v>
      </c>
      <c r="E161" s="6" t="s">
        <v>34</v>
      </c>
      <c r="F161" s="6" t="s">
        <v>35</v>
      </c>
      <c r="G161" s="6" t="s">
        <v>257</v>
      </c>
      <c r="H161" s="6" t="s">
        <v>37</v>
      </c>
      <c r="I161" s="6" t="s">
        <v>242</v>
      </c>
      <c r="J161" s="6" t="s">
        <v>39</v>
      </c>
      <c r="K161" s="6" t="s">
        <v>40</v>
      </c>
      <c r="L161" s="6" t="s">
        <v>63</v>
      </c>
      <c r="M161" s="6" t="s">
        <v>41</v>
      </c>
      <c r="N161" s="7" t="n">
        <f aca="false">IFERROR(MOD(TIMEVALUE(M161)-TIMEVALUE(L161),1)*1440,"")</f>
        <v>480</v>
      </c>
      <c r="O161" s="8" t="n">
        <v>15</v>
      </c>
      <c r="P161" s="8" t="n">
        <v>55</v>
      </c>
      <c r="Q161" s="6" t="s">
        <v>43</v>
      </c>
      <c r="R161" s="6" t="s">
        <v>44</v>
      </c>
      <c r="S161" s="7" t="n">
        <f aca="false">IFERROR(N161-N(O161)-N(P161),"")</f>
        <v>410</v>
      </c>
      <c r="T161" s="8" t="n">
        <v>6351</v>
      </c>
      <c r="U161" s="8" t="n">
        <v>54</v>
      </c>
      <c r="V161" s="6" t="s">
        <v>45</v>
      </c>
      <c r="W161" s="8" t="n">
        <v>950</v>
      </c>
      <c r="X161" s="8" t="n">
        <v>6232</v>
      </c>
      <c r="Y161" s="7" t="n">
        <f aca="false">IFERROR(T161/X161*100,"")</f>
        <v>101.909499358151</v>
      </c>
      <c r="Z161" s="7" t="n">
        <f aca="false">IFERROR(S161/N161*100,"")</f>
        <v>85.4166666666667</v>
      </c>
      <c r="AA161" s="7" t="n">
        <f aca="false">IFERROR(T161/(W161*S161/60)*100,"")</f>
        <v>97.8331193838254</v>
      </c>
      <c r="AB161" s="7" t="n">
        <f aca="false">IFERROR(T161/(T161+U161)*100,"")</f>
        <v>99.1569086651054</v>
      </c>
      <c r="AC161" s="7" t="n">
        <f aca="false">IFERROR(Z161*AA161*AB161/10000,"")</f>
        <v>82.8612535436953</v>
      </c>
      <c r="AD161" s="6"/>
    </row>
    <row r="162" customFormat="false" ht="15" hidden="false" customHeight="false" outlineLevel="0" collapsed="false">
      <c r="A162" s="3" t="s">
        <v>235</v>
      </c>
      <c r="B162" s="3" t="s">
        <v>69</v>
      </c>
      <c r="C162" s="3" t="s">
        <v>76</v>
      </c>
      <c r="D162" s="3" t="s">
        <v>71</v>
      </c>
      <c r="E162" s="3" t="s">
        <v>46</v>
      </c>
      <c r="F162" s="3" t="s">
        <v>35</v>
      </c>
      <c r="G162" s="3" t="s">
        <v>258</v>
      </c>
      <c r="H162" s="3" t="s">
        <v>62</v>
      </c>
      <c r="I162" s="3"/>
      <c r="J162" s="3" t="s">
        <v>39</v>
      </c>
      <c r="K162" s="3" t="s">
        <v>40</v>
      </c>
      <c r="L162" s="3" t="s">
        <v>63</v>
      </c>
      <c r="M162" s="3" t="s">
        <v>41</v>
      </c>
      <c r="N162" s="4" t="n">
        <f aca="false">IFERROR(MOD(TIMEVALUE(M162)-TIMEVALUE(L162),1)*1440,"")</f>
        <v>480</v>
      </c>
      <c r="O162" s="5" t="n">
        <v>0</v>
      </c>
      <c r="P162" s="5" t="n">
        <v>145</v>
      </c>
      <c r="Q162" s="3" t="s">
        <v>49</v>
      </c>
      <c r="R162" s="3" t="s">
        <v>50</v>
      </c>
      <c r="S162" s="4" t="n">
        <f aca="false">IFERROR(N162-N(O162)-N(P162),"")</f>
        <v>335</v>
      </c>
      <c r="T162" s="5" t="n">
        <v>4835</v>
      </c>
      <c r="U162" s="5" t="n">
        <v>310</v>
      </c>
      <c r="V162" s="3" t="s">
        <v>45</v>
      </c>
      <c r="W162" s="5" t="n">
        <v>950</v>
      </c>
      <c r="X162" s="5" t="n">
        <v>6232</v>
      </c>
      <c r="Y162" s="4" t="n">
        <f aca="false">IFERROR(T162/X162*100,"")</f>
        <v>77.5834403080873</v>
      </c>
      <c r="Z162" s="4" t="n">
        <f aca="false">IFERROR(S162/N162*100,"")</f>
        <v>69.7916666666667</v>
      </c>
      <c r="AA162" s="4" t="n">
        <f aca="false">IFERROR(T162/(W162*S162/60)*100,"")</f>
        <v>91.1547525530243</v>
      </c>
      <c r="AB162" s="4" t="n">
        <f aca="false">IFERROR(T162/(T162+U162)*100,"")</f>
        <v>93.974732750243</v>
      </c>
      <c r="AC162" s="4" t="n">
        <f aca="false">IFERROR(Z162*AA162*AB162/10000,"")</f>
        <v>59.7852411641348</v>
      </c>
      <c r="AD162" s="3"/>
    </row>
    <row r="163" customFormat="false" ht="15" hidden="false" customHeight="false" outlineLevel="0" collapsed="false">
      <c r="A163" s="6" t="s">
        <v>235</v>
      </c>
      <c r="B163" s="6" t="s">
        <v>69</v>
      </c>
      <c r="C163" s="6" t="s">
        <v>99</v>
      </c>
      <c r="D163" s="6" t="s">
        <v>71</v>
      </c>
      <c r="E163" s="6" t="s">
        <v>51</v>
      </c>
      <c r="F163" s="6" t="s">
        <v>52</v>
      </c>
      <c r="G163" s="6" t="s">
        <v>259</v>
      </c>
      <c r="H163" s="6" t="s">
        <v>37</v>
      </c>
      <c r="I163" s="6" t="s">
        <v>242</v>
      </c>
      <c r="J163" s="6" t="s">
        <v>65</v>
      </c>
      <c r="K163" s="6" t="s">
        <v>66</v>
      </c>
      <c r="L163" s="6" t="s">
        <v>63</v>
      </c>
      <c r="M163" s="6" t="s">
        <v>41</v>
      </c>
      <c r="N163" s="7" t="n">
        <f aca="false">IFERROR(MOD(TIMEVALUE(M163)-TIMEVALUE(L163),1)*1440,"")</f>
        <v>480</v>
      </c>
      <c r="O163" s="8" t="n">
        <v>0</v>
      </c>
      <c r="P163" s="8" t="n">
        <v>0</v>
      </c>
      <c r="Q163" s="6"/>
      <c r="R163" s="6"/>
      <c r="S163" s="7" t="n">
        <f aca="false">IFERROR(N163-N(O163)-N(P163),"")</f>
        <v>480</v>
      </c>
      <c r="T163" s="8" t="n">
        <v>10005</v>
      </c>
      <c r="U163" s="8" t="n">
        <v>41</v>
      </c>
      <c r="V163" s="6" t="s">
        <v>45</v>
      </c>
      <c r="W163" s="8" t="n">
        <v>1400</v>
      </c>
      <c r="X163" s="8" t="n">
        <v>9184</v>
      </c>
      <c r="Y163" s="7" t="n">
        <f aca="false">IFERROR(T163/X163*100,"")</f>
        <v>108.939459930314</v>
      </c>
      <c r="Z163" s="7" t="n">
        <f aca="false">IFERROR(S163/N163*100,"")</f>
        <v>100</v>
      </c>
      <c r="AA163" s="7" t="n">
        <f aca="false">IFERROR(T163/(W163*S163/60)*100,"")</f>
        <v>89.3303571428571</v>
      </c>
      <c r="AB163" s="7" t="n">
        <f aca="false">IFERROR(T163/(T163+U163)*100,"")</f>
        <v>99.591877364125</v>
      </c>
      <c r="AC163" s="7" t="n">
        <f aca="false">IFERROR(Z163*AA163*AB163/10000,"")</f>
        <v>88.9657797346492</v>
      </c>
      <c r="AD163" s="6"/>
    </row>
    <row r="164" customFormat="false" ht="15" hidden="false" customHeight="false" outlineLevel="0" collapsed="false">
      <c r="A164" s="3" t="s">
        <v>229</v>
      </c>
      <c r="B164" s="3" t="s">
        <v>31</v>
      </c>
      <c r="C164" s="3" t="s">
        <v>32</v>
      </c>
      <c r="D164" s="3" t="s">
        <v>33</v>
      </c>
      <c r="E164" s="3" t="s">
        <v>34</v>
      </c>
      <c r="F164" s="3" t="s">
        <v>35</v>
      </c>
      <c r="G164" s="3" t="s">
        <v>260</v>
      </c>
      <c r="H164" s="3" t="s">
        <v>62</v>
      </c>
      <c r="I164" s="3"/>
      <c r="J164" s="3" t="s">
        <v>39</v>
      </c>
      <c r="K164" s="3" t="s">
        <v>40</v>
      </c>
      <c r="L164" s="3" t="s">
        <v>41</v>
      </c>
      <c r="M164" s="3" t="s">
        <v>42</v>
      </c>
      <c r="N164" s="4" t="n">
        <f aca="false">IFERROR(MOD(TIMEVALUE(M164)-TIMEVALUE(L164),1)*1440,"")</f>
        <v>480</v>
      </c>
      <c r="O164" s="5" t="n">
        <v>0</v>
      </c>
      <c r="P164" s="5" t="n">
        <v>0</v>
      </c>
      <c r="Q164" s="3"/>
      <c r="R164" s="3"/>
      <c r="S164" s="4" t="n">
        <f aca="false">IFERROR(N164-N(O164)-N(P164),"")</f>
        <v>480</v>
      </c>
      <c r="T164" s="5" t="n">
        <v>6739</v>
      </c>
      <c r="U164" s="5" t="n">
        <v>143</v>
      </c>
      <c r="V164" s="3" t="s">
        <v>45</v>
      </c>
      <c r="W164" s="5" t="n">
        <v>950</v>
      </c>
      <c r="X164" s="5" t="n">
        <v>6232</v>
      </c>
      <c r="Y164" s="4" t="n">
        <f aca="false">IFERROR(T164/X164*100,"")</f>
        <v>108.135430038511</v>
      </c>
      <c r="Z164" s="4" t="n">
        <f aca="false">IFERROR(S164/N164*100,"")</f>
        <v>100</v>
      </c>
      <c r="AA164" s="4" t="n">
        <f aca="false">IFERROR(T164/(W164*S164/60)*100,"")</f>
        <v>88.671052631579</v>
      </c>
      <c r="AB164" s="4" t="n">
        <f aca="false">IFERROR(T164/(T164+U164)*100,"")</f>
        <v>97.9221156640512</v>
      </c>
      <c r="AC164" s="4" t="n">
        <f aca="false">IFERROR(Z164*AA164*AB164/10000,"")</f>
        <v>86.8285707184264</v>
      </c>
      <c r="AD164" s="3"/>
    </row>
    <row r="165" customFormat="false" ht="15" hidden="false" customHeight="false" outlineLevel="0" collapsed="false">
      <c r="A165" s="6" t="s">
        <v>229</v>
      </c>
      <c r="B165" s="6" t="s">
        <v>31</v>
      </c>
      <c r="C165" s="6" t="s">
        <v>70</v>
      </c>
      <c r="D165" s="6" t="s">
        <v>33</v>
      </c>
      <c r="E165" s="6" t="s">
        <v>46</v>
      </c>
      <c r="F165" s="6" t="s">
        <v>35</v>
      </c>
      <c r="G165" s="6" t="s">
        <v>261</v>
      </c>
      <c r="H165" s="6" t="s">
        <v>37</v>
      </c>
      <c r="I165" s="6" t="s">
        <v>242</v>
      </c>
      <c r="J165" s="6" t="s">
        <v>65</v>
      </c>
      <c r="K165" s="6" t="s">
        <v>66</v>
      </c>
      <c r="L165" s="6" t="s">
        <v>41</v>
      </c>
      <c r="M165" s="6" t="s">
        <v>42</v>
      </c>
      <c r="N165" s="7" t="n">
        <f aca="false">IFERROR(MOD(TIMEVALUE(M165)-TIMEVALUE(L165),1)*1440,"")</f>
        <v>480</v>
      </c>
      <c r="O165" s="8" t="n">
        <v>0</v>
      </c>
      <c r="P165" s="8" t="n">
        <v>150</v>
      </c>
      <c r="Q165" s="6" t="s">
        <v>79</v>
      </c>
      <c r="R165" s="6" t="s">
        <v>50</v>
      </c>
      <c r="S165" s="7" t="n">
        <f aca="false">IFERROR(N165-N(O165)-N(P165),"")</f>
        <v>330</v>
      </c>
      <c r="T165" s="8" t="n">
        <v>6175</v>
      </c>
      <c r="U165" s="8" t="n">
        <v>106</v>
      </c>
      <c r="V165" s="6" t="s">
        <v>45</v>
      </c>
      <c r="W165" s="8" t="n">
        <v>1400</v>
      </c>
      <c r="X165" s="8" t="n">
        <v>9184</v>
      </c>
      <c r="Y165" s="7" t="n">
        <f aca="false">IFERROR(T165/X165*100,"")</f>
        <v>67.2364982578397</v>
      </c>
      <c r="Z165" s="7" t="n">
        <f aca="false">IFERROR(S165/N165*100,"")</f>
        <v>68.75</v>
      </c>
      <c r="AA165" s="7" t="n">
        <f aca="false">IFERROR(T165/(W165*S165/60)*100,"")</f>
        <v>80.1948051948052</v>
      </c>
      <c r="AB165" s="7" t="n">
        <f aca="false">IFERROR(T165/(T165+U165)*100,"")</f>
        <v>98.3123706416176</v>
      </c>
      <c r="AC165" s="7" t="n">
        <f aca="false">IFERROR(Z165*AA165*AB165/10000,"")</f>
        <v>54.2034722064276</v>
      </c>
      <c r="AD165" s="6"/>
    </row>
    <row r="166" customFormat="false" ht="15" hidden="false" customHeight="false" outlineLevel="0" collapsed="false">
      <c r="A166" s="3" t="s">
        <v>229</v>
      </c>
      <c r="B166" s="3" t="s">
        <v>31</v>
      </c>
      <c r="C166" s="3" t="s">
        <v>99</v>
      </c>
      <c r="D166" s="3" t="s">
        <v>33</v>
      </c>
      <c r="E166" s="3" t="s">
        <v>51</v>
      </c>
      <c r="F166" s="3" t="s">
        <v>52</v>
      </c>
      <c r="G166" s="3" t="s">
        <v>262</v>
      </c>
      <c r="H166" s="3" t="s">
        <v>62</v>
      </c>
      <c r="I166" s="3"/>
      <c r="J166" s="3" t="s">
        <v>39</v>
      </c>
      <c r="K166" s="3" t="s">
        <v>40</v>
      </c>
      <c r="L166" s="3" t="s">
        <v>41</v>
      </c>
      <c r="M166" s="3" t="s">
        <v>42</v>
      </c>
      <c r="N166" s="4" t="n">
        <f aca="false">IFERROR(MOD(TIMEVALUE(M166)-TIMEVALUE(L166),1)*1440,"")</f>
        <v>480</v>
      </c>
      <c r="O166" s="5" t="n">
        <v>15</v>
      </c>
      <c r="P166" s="5" t="n">
        <v>0</v>
      </c>
      <c r="Q166" s="3"/>
      <c r="R166" s="3"/>
      <c r="S166" s="4" t="n">
        <f aca="false">IFERROR(N166-N(O166)-N(P166),"")</f>
        <v>465</v>
      </c>
      <c r="T166" s="5" t="n">
        <v>6261</v>
      </c>
      <c r="U166" s="5" t="n">
        <v>61</v>
      </c>
      <c r="V166" s="3" t="s">
        <v>45</v>
      </c>
      <c r="W166" s="5" t="n">
        <v>950</v>
      </c>
      <c r="X166" s="5" t="n">
        <v>6232</v>
      </c>
      <c r="Y166" s="4" t="n">
        <f aca="false">IFERROR(T166/X166*100,"")</f>
        <v>100.465340179718</v>
      </c>
      <c r="Z166" s="4" t="n">
        <f aca="false">IFERROR(S166/N166*100,"")</f>
        <v>96.875</v>
      </c>
      <c r="AA166" s="4" t="n">
        <f aca="false">IFERROR(T166/(W166*S166/60)*100,"")</f>
        <v>85.0390492359932</v>
      </c>
      <c r="AB166" s="4" t="n">
        <f aca="false">IFERROR(T166/(T166+U166)*100,"")</f>
        <v>99.035115469788</v>
      </c>
      <c r="AC166" s="4" t="n">
        <f aca="false">IFERROR(Z166*AA166*AB166/10000,"")</f>
        <v>81.5866918363609</v>
      </c>
      <c r="AD166" s="3"/>
    </row>
    <row r="167" customFormat="false" ht="15" hidden="false" customHeight="false" outlineLevel="0" collapsed="false">
      <c r="A167" s="6" t="s">
        <v>229</v>
      </c>
      <c r="B167" s="6" t="s">
        <v>58</v>
      </c>
      <c r="C167" s="6" t="s">
        <v>99</v>
      </c>
      <c r="D167" s="6" t="s">
        <v>60</v>
      </c>
      <c r="E167" s="6" t="s">
        <v>34</v>
      </c>
      <c r="F167" s="6" t="s">
        <v>35</v>
      </c>
      <c r="G167" s="6" t="s">
        <v>263</v>
      </c>
      <c r="H167" s="6" t="s">
        <v>37</v>
      </c>
      <c r="I167" s="6" t="s">
        <v>242</v>
      </c>
      <c r="J167" s="6" t="s">
        <v>65</v>
      </c>
      <c r="K167" s="6" t="s">
        <v>66</v>
      </c>
      <c r="L167" s="6" t="s">
        <v>42</v>
      </c>
      <c r="M167" s="6" t="s">
        <v>63</v>
      </c>
      <c r="N167" s="7" t="n">
        <f aca="false">IFERROR(MOD(TIMEVALUE(M167)-TIMEVALUE(L167),1)*1440,"")</f>
        <v>480</v>
      </c>
      <c r="O167" s="8" t="n">
        <v>0</v>
      </c>
      <c r="P167" s="8" t="n">
        <v>0</v>
      </c>
      <c r="Q167" s="6"/>
      <c r="R167" s="6"/>
      <c r="S167" s="7" t="n">
        <f aca="false">IFERROR(N167-N(O167)-N(P167),"")</f>
        <v>480</v>
      </c>
      <c r="T167" s="8" t="n">
        <v>9142</v>
      </c>
      <c r="U167" s="8" t="n">
        <v>74</v>
      </c>
      <c r="V167" s="6" t="s">
        <v>45</v>
      </c>
      <c r="W167" s="8" t="n">
        <v>1400</v>
      </c>
      <c r="X167" s="8" t="n">
        <v>9184</v>
      </c>
      <c r="Y167" s="7" t="n">
        <f aca="false">IFERROR(T167/X167*100,"")</f>
        <v>99.5426829268293</v>
      </c>
      <c r="Z167" s="7" t="n">
        <f aca="false">IFERROR(S167/N167*100,"")</f>
        <v>100</v>
      </c>
      <c r="AA167" s="7" t="n">
        <f aca="false">IFERROR(T167/(W167*S167/60)*100,"")</f>
        <v>81.625</v>
      </c>
      <c r="AB167" s="7" t="n">
        <f aca="false">IFERROR(T167/(T167+U167)*100,"")</f>
        <v>99.1970486111111</v>
      </c>
      <c r="AC167" s="7" t="n">
        <f aca="false">IFERROR(Z167*AA167*AB167/10000,"")</f>
        <v>80.9695909288194</v>
      </c>
      <c r="AD167" s="6"/>
    </row>
    <row r="168" customFormat="false" ht="15" hidden="false" customHeight="false" outlineLevel="0" collapsed="false">
      <c r="A168" s="3" t="s">
        <v>229</v>
      </c>
      <c r="B168" s="3" t="s">
        <v>58</v>
      </c>
      <c r="C168" s="3" t="s">
        <v>32</v>
      </c>
      <c r="D168" s="3" t="s">
        <v>60</v>
      </c>
      <c r="E168" s="3" t="s">
        <v>46</v>
      </c>
      <c r="F168" s="3" t="s">
        <v>35</v>
      </c>
      <c r="G168" s="3" t="s">
        <v>264</v>
      </c>
      <c r="H168" s="3" t="s">
        <v>62</v>
      </c>
      <c r="I168" s="3"/>
      <c r="J168" s="3" t="s">
        <v>39</v>
      </c>
      <c r="K168" s="3" t="s">
        <v>40</v>
      </c>
      <c r="L168" s="3" t="s">
        <v>42</v>
      </c>
      <c r="M168" s="3" t="s">
        <v>63</v>
      </c>
      <c r="N168" s="4" t="n">
        <f aca="false">IFERROR(MOD(TIMEVALUE(M168)-TIMEVALUE(L168),1)*1440,"")</f>
        <v>480</v>
      </c>
      <c r="O168" s="5" t="n">
        <v>0</v>
      </c>
      <c r="P168" s="5" t="n">
        <v>15</v>
      </c>
      <c r="Q168" s="3" t="s">
        <v>97</v>
      </c>
      <c r="R168" s="3" t="s">
        <v>44</v>
      </c>
      <c r="S168" s="4" t="n">
        <f aca="false">IFERROR(N168-N(O168)-N(P168),"")</f>
        <v>465</v>
      </c>
      <c r="T168" s="5" t="n">
        <v>6955</v>
      </c>
      <c r="U168" s="5" t="n">
        <v>99</v>
      </c>
      <c r="V168" s="3" t="s">
        <v>45</v>
      </c>
      <c r="W168" s="5" t="n">
        <v>950</v>
      </c>
      <c r="X168" s="5" t="n">
        <v>6232</v>
      </c>
      <c r="Y168" s="4" t="n">
        <f aca="false">IFERROR(T168/X168*100,"")</f>
        <v>111.601412066752</v>
      </c>
      <c r="Z168" s="4" t="n">
        <f aca="false">IFERROR(S168/N168*100,"")</f>
        <v>96.875</v>
      </c>
      <c r="AA168" s="4" t="n">
        <f aca="false">IFERROR(T168/(W168*S168/60)*100,"")</f>
        <v>94.46519524618</v>
      </c>
      <c r="AB168" s="4" t="n">
        <f aca="false">IFERROR(T168/(T168+U168)*100,"")</f>
        <v>98.5965409696626</v>
      </c>
      <c r="AC168" s="4" t="n">
        <f aca="false">IFERROR(Z168*AA168*AB168/10000,"")</f>
        <v>90.2288082163162</v>
      </c>
      <c r="AD168" s="3"/>
    </row>
    <row r="169" customFormat="false" ht="15" hidden="false" customHeight="false" outlineLevel="0" collapsed="false">
      <c r="A169" s="6" t="s">
        <v>229</v>
      </c>
      <c r="B169" s="6" t="s">
        <v>58</v>
      </c>
      <c r="C169" s="6" t="s">
        <v>99</v>
      </c>
      <c r="D169" s="6" t="s">
        <v>60</v>
      </c>
      <c r="E169" s="6" t="s">
        <v>51</v>
      </c>
      <c r="F169" s="6" t="s">
        <v>52</v>
      </c>
      <c r="G169" s="6" t="s">
        <v>265</v>
      </c>
      <c r="H169" s="6" t="s">
        <v>37</v>
      </c>
      <c r="I169" s="6" t="s">
        <v>242</v>
      </c>
      <c r="J169" s="6" t="s">
        <v>39</v>
      </c>
      <c r="K169" s="6" t="s">
        <v>40</v>
      </c>
      <c r="L169" s="6" t="s">
        <v>42</v>
      </c>
      <c r="M169" s="6" t="s">
        <v>63</v>
      </c>
      <c r="N169" s="7" t="n">
        <f aca="false">IFERROR(MOD(TIMEVALUE(M169)-TIMEVALUE(L169),1)*1440,"")</f>
        <v>480</v>
      </c>
      <c r="O169" s="8" t="n">
        <v>15</v>
      </c>
      <c r="P169" s="8" t="n">
        <v>0</v>
      </c>
      <c r="Q169" s="6"/>
      <c r="R169" s="6"/>
      <c r="S169" s="7" t="n">
        <f aca="false">IFERROR(N169-N(O169)-N(P169),"")</f>
        <v>465</v>
      </c>
      <c r="T169" s="8" t="n">
        <v>7196</v>
      </c>
      <c r="U169" s="8" t="n">
        <v>105</v>
      </c>
      <c r="V169" s="6" t="s">
        <v>45</v>
      </c>
      <c r="W169" s="8" t="n">
        <v>950</v>
      </c>
      <c r="X169" s="8" t="n">
        <v>6232</v>
      </c>
      <c r="Y169" s="7" t="n">
        <f aca="false">IFERROR(T169/X169*100,"")</f>
        <v>115.468549422336</v>
      </c>
      <c r="Z169" s="7" t="n">
        <f aca="false">IFERROR(S169/N169*100,"")</f>
        <v>96.875</v>
      </c>
      <c r="AA169" s="7" t="n">
        <f aca="false">IFERROR(T169/(W169*S169/60)*100,"")</f>
        <v>97.7385398981324</v>
      </c>
      <c r="AB169" s="7" t="n">
        <f aca="false">IFERROR(T169/(T169+U169)*100,"")</f>
        <v>98.56184084372</v>
      </c>
      <c r="AC169" s="7" t="n">
        <f aca="false">IFERROR(Z169*AA169*AB169/10000,"")</f>
        <v>93.3225008830802</v>
      </c>
      <c r="AD169" s="6"/>
    </row>
    <row r="170" customFormat="false" ht="15" hidden="false" customHeight="false" outlineLevel="0" collapsed="false">
      <c r="A170" s="3" t="s">
        <v>229</v>
      </c>
      <c r="B170" s="3" t="s">
        <v>69</v>
      </c>
      <c r="C170" s="3" t="s">
        <v>67</v>
      </c>
      <c r="D170" s="3" t="s">
        <v>71</v>
      </c>
      <c r="E170" s="3" t="s">
        <v>34</v>
      </c>
      <c r="F170" s="3" t="s">
        <v>35</v>
      </c>
      <c r="G170" s="3" t="s">
        <v>266</v>
      </c>
      <c r="H170" s="3" t="s">
        <v>62</v>
      </c>
      <c r="I170" s="3"/>
      <c r="J170" s="3" t="s">
        <v>39</v>
      </c>
      <c r="K170" s="3" t="s">
        <v>40</v>
      </c>
      <c r="L170" s="3" t="s">
        <v>63</v>
      </c>
      <c r="M170" s="3" t="s">
        <v>41</v>
      </c>
      <c r="N170" s="4" t="n">
        <f aca="false">IFERROR(MOD(TIMEVALUE(M170)-TIMEVALUE(L170),1)*1440,"")</f>
        <v>480</v>
      </c>
      <c r="O170" s="5" t="n">
        <v>0</v>
      </c>
      <c r="P170" s="5" t="n">
        <v>0</v>
      </c>
      <c r="Q170" s="3"/>
      <c r="R170" s="3"/>
      <c r="S170" s="4" t="n">
        <f aca="false">IFERROR(N170-N(O170)-N(P170),"")</f>
        <v>480</v>
      </c>
      <c r="T170" s="5" t="n">
        <v>6380</v>
      </c>
      <c r="U170" s="5" t="n">
        <v>80</v>
      </c>
      <c r="V170" s="3" t="s">
        <v>45</v>
      </c>
      <c r="W170" s="5" t="n">
        <v>950</v>
      </c>
      <c r="X170" s="5" t="n">
        <v>6232</v>
      </c>
      <c r="Y170" s="4" t="n">
        <f aca="false">IFERROR(T170/X170*100,"")</f>
        <v>102.374839537869</v>
      </c>
      <c r="Z170" s="4" t="n">
        <f aca="false">IFERROR(S170/N170*100,"")</f>
        <v>100</v>
      </c>
      <c r="AA170" s="4" t="n">
        <f aca="false">IFERROR(T170/(W170*S170/60)*100,"")</f>
        <v>83.9473684210526</v>
      </c>
      <c r="AB170" s="4" t="n">
        <f aca="false">IFERROR(T170/(T170+U170)*100,"")</f>
        <v>98.7616099071207</v>
      </c>
      <c r="AC170" s="4" t="n">
        <f aca="false">IFERROR(Z170*AA170*AB170/10000,"")</f>
        <v>82.9077725272935</v>
      </c>
      <c r="AD170" s="3"/>
    </row>
    <row r="171" customFormat="false" ht="15" hidden="false" customHeight="false" outlineLevel="0" collapsed="false">
      <c r="A171" s="6" t="s">
        <v>229</v>
      </c>
      <c r="B171" s="6" t="s">
        <v>69</v>
      </c>
      <c r="C171" s="6" t="s">
        <v>32</v>
      </c>
      <c r="D171" s="6" t="s">
        <v>71</v>
      </c>
      <c r="E171" s="6" t="s">
        <v>46</v>
      </c>
      <c r="F171" s="6" t="s">
        <v>35</v>
      </c>
      <c r="G171" s="6" t="s">
        <v>267</v>
      </c>
      <c r="H171" s="6" t="s">
        <v>62</v>
      </c>
      <c r="I171" s="6"/>
      <c r="J171" s="6" t="s">
        <v>65</v>
      </c>
      <c r="K171" s="6" t="s">
        <v>66</v>
      </c>
      <c r="L171" s="6" t="s">
        <v>63</v>
      </c>
      <c r="M171" s="6" t="s">
        <v>41</v>
      </c>
      <c r="N171" s="7" t="n">
        <f aca="false">IFERROR(MOD(TIMEVALUE(M171)-TIMEVALUE(L171),1)*1440,"")</f>
        <v>480</v>
      </c>
      <c r="O171" s="8" t="n">
        <v>0</v>
      </c>
      <c r="P171" s="8" t="n">
        <v>85</v>
      </c>
      <c r="Q171" s="6" t="s">
        <v>49</v>
      </c>
      <c r="R171" s="6" t="s">
        <v>50</v>
      </c>
      <c r="S171" s="7" t="n">
        <f aca="false">IFERROR(N171-N(O171)-N(P171),"")</f>
        <v>395</v>
      </c>
      <c r="T171" s="8" t="n">
        <v>7765</v>
      </c>
      <c r="U171" s="8" t="n">
        <v>48</v>
      </c>
      <c r="V171" s="6" t="s">
        <v>45</v>
      </c>
      <c r="W171" s="8" t="n">
        <v>1400</v>
      </c>
      <c r="X171" s="8" t="n">
        <v>9184</v>
      </c>
      <c r="Y171" s="7" t="n">
        <f aca="false">IFERROR(T171/X171*100,"")</f>
        <v>84.5492160278746</v>
      </c>
      <c r="Z171" s="7" t="n">
        <f aca="false">IFERROR(S171/N171*100,"")</f>
        <v>82.2916666666667</v>
      </c>
      <c r="AA171" s="7" t="n">
        <f aca="false">IFERROR(T171/(W171*S171/60)*100,"")</f>
        <v>84.249547920434</v>
      </c>
      <c r="AB171" s="7" t="n">
        <f aca="false">IFERROR(T171/(T171+U171)*100,"")</f>
        <v>99.3856393190836</v>
      </c>
      <c r="AC171" s="7" t="n">
        <f aca="false">IFERROR(Z171*AA171*AB171/10000,"")</f>
        <v>68.9044186886325</v>
      </c>
      <c r="AD171" s="6"/>
    </row>
    <row r="172" customFormat="false" ht="15" hidden="false" customHeight="false" outlineLevel="0" collapsed="false">
      <c r="A172" s="3" t="s">
        <v>229</v>
      </c>
      <c r="B172" s="3" t="s">
        <v>69</v>
      </c>
      <c r="C172" s="3" t="s">
        <v>70</v>
      </c>
      <c r="D172" s="3" t="s">
        <v>71</v>
      </c>
      <c r="E172" s="3" t="s">
        <v>51</v>
      </c>
      <c r="F172" s="3" t="s">
        <v>52</v>
      </c>
      <c r="G172" s="3" t="s">
        <v>268</v>
      </c>
      <c r="H172" s="3" t="s">
        <v>62</v>
      </c>
      <c r="I172" s="3"/>
      <c r="J172" s="3" t="s">
        <v>39</v>
      </c>
      <c r="K172" s="3" t="s">
        <v>40</v>
      </c>
      <c r="L172" s="3" t="s">
        <v>63</v>
      </c>
      <c r="M172" s="3" t="s">
        <v>41</v>
      </c>
      <c r="N172" s="4" t="n">
        <f aca="false">IFERROR(MOD(TIMEVALUE(M172)-TIMEVALUE(L172),1)*1440,"")</f>
        <v>480</v>
      </c>
      <c r="O172" s="5" t="n">
        <v>15</v>
      </c>
      <c r="P172" s="5" t="n">
        <v>30</v>
      </c>
      <c r="Q172" s="3" t="s">
        <v>43</v>
      </c>
      <c r="R172" s="3" t="s">
        <v>44</v>
      </c>
      <c r="S172" s="4" t="n">
        <f aca="false">IFERROR(N172-N(O172)-N(P172),"")</f>
        <v>435</v>
      </c>
      <c r="T172" s="5" t="n">
        <v>5658</v>
      </c>
      <c r="U172" s="5" t="n">
        <v>162</v>
      </c>
      <c r="V172" s="3" t="s">
        <v>45</v>
      </c>
      <c r="W172" s="5" t="n">
        <v>950</v>
      </c>
      <c r="X172" s="5" t="n">
        <v>6232</v>
      </c>
      <c r="Y172" s="4" t="n">
        <f aca="false">IFERROR(T172/X172*100,"")</f>
        <v>90.7894736842105</v>
      </c>
      <c r="Z172" s="4" t="n">
        <f aca="false">IFERROR(S172/N172*100,"")</f>
        <v>90.625</v>
      </c>
      <c r="AA172" s="4" t="n">
        <f aca="false">IFERROR(T172/(W172*S172/60)*100,"")</f>
        <v>82.1488203266788</v>
      </c>
      <c r="AB172" s="4" t="n">
        <f aca="false">IFERROR(T172/(T172+U172)*100,"")</f>
        <v>97.2164948453608</v>
      </c>
      <c r="AC172" s="4" t="n">
        <f aca="false">IFERROR(Z172*AA172*AB172/10000,"")</f>
        <v>72.3751220835594</v>
      </c>
      <c r="AD172" s="3"/>
    </row>
    <row r="173" customFormat="false" ht="15" hidden="false" customHeight="false" outlineLevel="0" collapsed="false">
      <c r="A173" s="6" t="s">
        <v>242</v>
      </c>
      <c r="B173" s="6" t="s">
        <v>31</v>
      </c>
      <c r="C173" s="6" t="s">
        <v>76</v>
      </c>
      <c r="D173" s="6" t="s">
        <v>33</v>
      </c>
      <c r="E173" s="6" t="s">
        <v>34</v>
      </c>
      <c r="F173" s="6" t="s">
        <v>35</v>
      </c>
      <c r="G173" s="6" t="s">
        <v>269</v>
      </c>
      <c r="H173" s="6" t="s">
        <v>62</v>
      </c>
      <c r="I173" s="6"/>
      <c r="J173" s="6" t="s">
        <v>65</v>
      </c>
      <c r="K173" s="6" t="s">
        <v>66</v>
      </c>
      <c r="L173" s="6" t="s">
        <v>41</v>
      </c>
      <c r="M173" s="6" t="s">
        <v>42</v>
      </c>
      <c r="N173" s="7" t="n">
        <f aca="false">IFERROR(MOD(TIMEVALUE(M173)-TIMEVALUE(L173),1)*1440,"")</f>
        <v>480</v>
      </c>
      <c r="O173" s="8" t="n">
        <v>0</v>
      </c>
      <c r="P173" s="8" t="n">
        <v>0</v>
      </c>
      <c r="Q173" s="6"/>
      <c r="R173" s="6"/>
      <c r="S173" s="7" t="n">
        <f aca="false">IFERROR(N173-N(O173)-N(P173),"")</f>
        <v>480</v>
      </c>
      <c r="T173" s="8" t="n">
        <v>9601</v>
      </c>
      <c r="U173" s="8" t="n">
        <v>766</v>
      </c>
      <c r="V173" s="6" t="s">
        <v>45</v>
      </c>
      <c r="W173" s="8" t="n">
        <v>1400</v>
      </c>
      <c r="X173" s="8" t="n">
        <v>9184</v>
      </c>
      <c r="Y173" s="7" t="n">
        <f aca="false">IFERROR(T173/X173*100,"")</f>
        <v>104.540505226481</v>
      </c>
      <c r="Z173" s="7" t="n">
        <f aca="false">IFERROR(S173/N173*100,"")</f>
        <v>100</v>
      </c>
      <c r="AA173" s="7" t="n">
        <f aca="false">IFERROR(T173/(W173*S173/60)*100,"")</f>
        <v>85.7232142857143</v>
      </c>
      <c r="AB173" s="7" t="n">
        <f aca="false">IFERROR(T173/(T173+U173)*100,"")</f>
        <v>92.6111700588406</v>
      </c>
      <c r="AC173" s="7" t="n">
        <f aca="false">IFERROR(Z173*AA173*AB173/10000,"")</f>
        <v>79.3892717620472</v>
      </c>
      <c r="AD173" s="6"/>
    </row>
    <row r="174" customFormat="false" ht="15" hidden="false" customHeight="false" outlineLevel="0" collapsed="false">
      <c r="A174" s="3" t="s">
        <v>242</v>
      </c>
      <c r="B174" s="3" t="s">
        <v>31</v>
      </c>
      <c r="C174" s="3" t="s">
        <v>59</v>
      </c>
      <c r="D174" s="3" t="s">
        <v>33</v>
      </c>
      <c r="E174" s="3" t="s">
        <v>46</v>
      </c>
      <c r="F174" s="3" t="s">
        <v>35</v>
      </c>
      <c r="G174" s="3" t="s">
        <v>270</v>
      </c>
      <c r="H174" s="3" t="s">
        <v>62</v>
      </c>
      <c r="I174" s="3"/>
      <c r="J174" s="3" t="s">
        <v>39</v>
      </c>
      <c r="K174" s="3" t="s">
        <v>40</v>
      </c>
      <c r="L174" s="3" t="s">
        <v>41</v>
      </c>
      <c r="M174" s="3" t="s">
        <v>42</v>
      </c>
      <c r="N174" s="4" t="n">
        <f aca="false">IFERROR(MOD(TIMEVALUE(M174)-TIMEVALUE(L174),1)*1440,"")</f>
        <v>480</v>
      </c>
      <c r="O174" s="5" t="n">
        <v>30</v>
      </c>
      <c r="P174" s="5" t="n">
        <v>180</v>
      </c>
      <c r="Q174" s="3" t="s">
        <v>79</v>
      </c>
      <c r="R174" s="3" t="s">
        <v>50</v>
      </c>
      <c r="S174" s="4" t="n">
        <f aca="false">IFERROR(N174-N(O174)-N(P174),"")</f>
        <v>270</v>
      </c>
      <c r="T174" s="5" t="n">
        <v>3453</v>
      </c>
      <c r="U174" s="5" t="n">
        <v>59</v>
      </c>
      <c r="V174" s="3" t="s">
        <v>45</v>
      </c>
      <c r="W174" s="5" t="n">
        <v>950</v>
      </c>
      <c r="X174" s="5" t="n">
        <v>6232</v>
      </c>
      <c r="Y174" s="4" t="n">
        <f aca="false">IFERROR(T174/X174*100,"")</f>
        <v>55.4075738125802</v>
      </c>
      <c r="Z174" s="4" t="n">
        <f aca="false">IFERROR(S174/N174*100,"")</f>
        <v>56.25</v>
      </c>
      <c r="AA174" s="4" t="n">
        <f aca="false">IFERROR(T174/(W174*S174/60)*100,"")</f>
        <v>80.7719298245614</v>
      </c>
      <c r="AB174" s="4" t="n">
        <f aca="false">IFERROR(T174/(T174+U174)*100,"")</f>
        <v>98.3200455580866</v>
      </c>
      <c r="AC174" s="4" t="n">
        <f aca="false">IFERROR(Z174*AA174*AB174/10000,"")</f>
        <v>44.6709364884306</v>
      </c>
      <c r="AD174" s="3"/>
    </row>
    <row r="175" customFormat="false" ht="15" hidden="false" customHeight="false" outlineLevel="0" collapsed="false">
      <c r="A175" s="6" t="s">
        <v>242</v>
      </c>
      <c r="B175" s="6" t="s">
        <v>31</v>
      </c>
      <c r="C175" s="6" t="s">
        <v>67</v>
      </c>
      <c r="D175" s="6" t="s">
        <v>33</v>
      </c>
      <c r="E175" s="6" t="s">
        <v>51</v>
      </c>
      <c r="F175" s="6" t="s">
        <v>52</v>
      </c>
      <c r="G175" s="6" t="s">
        <v>271</v>
      </c>
      <c r="H175" s="6" t="s">
        <v>62</v>
      </c>
      <c r="I175" s="6"/>
      <c r="J175" s="6" t="s">
        <v>55</v>
      </c>
      <c r="K175" s="6" t="s">
        <v>56</v>
      </c>
      <c r="L175" s="6" t="s">
        <v>41</v>
      </c>
      <c r="M175" s="6" t="s">
        <v>42</v>
      </c>
      <c r="N175" s="7" t="n">
        <f aca="false">IFERROR(MOD(TIMEVALUE(M175)-TIMEVALUE(L175),1)*1440,"")</f>
        <v>480</v>
      </c>
      <c r="O175" s="8" t="n">
        <v>45</v>
      </c>
      <c r="P175" s="8" t="n">
        <v>0</v>
      </c>
      <c r="Q175" s="6"/>
      <c r="R175" s="6"/>
      <c r="S175" s="7" t="n">
        <f aca="false">IFERROR(N175-N(O175)-N(P175),"")</f>
        <v>435</v>
      </c>
      <c r="T175" s="8" t="n">
        <v>7342</v>
      </c>
      <c r="U175" s="8" t="n">
        <v>40</v>
      </c>
      <c r="V175" s="6" t="s">
        <v>45</v>
      </c>
      <c r="W175" s="8" t="n">
        <v>1200</v>
      </c>
      <c r="X175" s="8" t="n">
        <v>7871</v>
      </c>
      <c r="Y175" s="7" t="n">
        <f aca="false">IFERROR(T175/X175*100,"")</f>
        <v>93.2791259052217</v>
      </c>
      <c r="Z175" s="7" t="n">
        <f aca="false">IFERROR(S175/N175*100,"")</f>
        <v>90.625</v>
      </c>
      <c r="AA175" s="7" t="n">
        <f aca="false">IFERROR(T175/(W175*S175/60)*100,"")</f>
        <v>84.3908045977012</v>
      </c>
      <c r="AB175" s="7" t="n">
        <f aca="false">IFERROR(T175/(T175+U175)*100,"")</f>
        <v>99.4581414250881</v>
      </c>
      <c r="AC175" s="7" t="n">
        <f aca="false">IFERROR(Z175*AA175*AB175/10000,"")</f>
        <v>76.0647577440622</v>
      </c>
      <c r="AD175" s="6"/>
    </row>
    <row r="176" customFormat="false" ht="15" hidden="false" customHeight="false" outlineLevel="0" collapsed="false">
      <c r="A176" s="3" t="s">
        <v>242</v>
      </c>
      <c r="B176" s="3" t="s">
        <v>58</v>
      </c>
      <c r="C176" s="3" t="s">
        <v>67</v>
      </c>
      <c r="D176" s="3" t="s">
        <v>60</v>
      </c>
      <c r="E176" s="3" t="s">
        <v>34</v>
      </c>
      <c r="F176" s="3" t="s">
        <v>35</v>
      </c>
      <c r="G176" s="3" t="s">
        <v>272</v>
      </c>
      <c r="H176" s="3" t="s">
        <v>62</v>
      </c>
      <c r="I176" s="3"/>
      <c r="J176" s="3" t="s">
        <v>65</v>
      </c>
      <c r="K176" s="3" t="s">
        <v>66</v>
      </c>
      <c r="L176" s="3" t="s">
        <v>42</v>
      </c>
      <c r="M176" s="3" t="s">
        <v>63</v>
      </c>
      <c r="N176" s="4" t="n">
        <f aca="false">IFERROR(MOD(TIMEVALUE(M176)-TIMEVALUE(L176),1)*1440,"")</f>
        <v>480</v>
      </c>
      <c r="O176" s="5" t="n">
        <v>30</v>
      </c>
      <c r="P176" s="5" t="n">
        <v>0</v>
      </c>
      <c r="Q176" s="3"/>
      <c r="R176" s="3"/>
      <c r="S176" s="4" t="n">
        <f aca="false">IFERROR(N176-N(O176)-N(P176),"")</f>
        <v>450</v>
      </c>
      <c r="T176" s="5" t="n">
        <v>9042</v>
      </c>
      <c r="U176" s="5" t="n">
        <v>180</v>
      </c>
      <c r="V176" s="3" t="s">
        <v>45</v>
      </c>
      <c r="W176" s="5" t="n">
        <v>1400</v>
      </c>
      <c r="X176" s="5" t="n">
        <v>9184</v>
      </c>
      <c r="Y176" s="4" t="n">
        <f aca="false">IFERROR(T176/X176*100,"")</f>
        <v>98.4538327526132</v>
      </c>
      <c r="Z176" s="4" t="n">
        <f aca="false">IFERROR(S176/N176*100,"")</f>
        <v>93.75</v>
      </c>
      <c r="AA176" s="4" t="n">
        <f aca="false">IFERROR(T176/(W176*S176/60)*100,"")</f>
        <v>86.1142857142857</v>
      </c>
      <c r="AB176" s="4" t="n">
        <f aca="false">IFERROR(T176/(T176+U176)*100,"")</f>
        <v>98.0481457384515</v>
      </c>
      <c r="AC176" s="4" t="n">
        <f aca="false">IFERROR(Z176*AA176*AB176/10000,"")</f>
        <v>79.1563690863463</v>
      </c>
      <c r="AD176" s="3"/>
    </row>
    <row r="177" customFormat="false" ht="15" hidden="false" customHeight="false" outlineLevel="0" collapsed="false">
      <c r="A177" s="6" t="s">
        <v>242</v>
      </c>
      <c r="B177" s="6" t="s">
        <v>58</v>
      </c>
      <c r="C177" s="6" t="s">
        <v>99</v>
      </c>
      <c r="D177" s="6" t="s">
        <v>60</v>
      </c>
      <c r="E177" s="6" t="s">
        <v>46</v>
      </c>
      <c r="F177" s="6" t="s">
        <v>35</v>
      </c>
      <c r="G177" s="6" t="s">
        <v>273</v>
      </c>
      <c r="H177" s="6" t="s">
        <v>62</v>
      </c>
      <c r="I177" s="6"/>
      <c r="J177" s="6" t="s">
        <v>39</v>
      </c>
      <c r="K177" s="6" t="s">
        <v>40</v>
      </c>
      <c r="L177" s="6" t="s">
        <v>42</v>
      </c>
      <c r="M177" s="6" t="s">
        <v>63</v>
      </c>
      <c r="N177" s="7" t="n">
        <f aca="false">IFERROR(MOD(TIMEVALUE(M177)-TIMEVALUE(L177),1)*1440,"")</f>
        <v>480</v>
      </c>
      <c r="O177" s="8" t="n">
        <v>30</v>
      </c>
      <c r="P177" s="8" t="n">
        <v>0</v>
      </c>
      <c r="Q177" s="6"/>
      <c r="R177" s="6"/>
      <c r="S177" s="7" t="n">
        <f aca="false">IFERROR(N177-N(O177)-N(P177),"")</f>
        <v>450</v>
      </c>
      <c r="T177" s="8" t="n">
        <v>5709</v>
      </c>
      <c r="U177" s="8" t="n">
        <v>169</v>
      </c>
      <c r="V177" s="6" t="s">
        <v>45</v>
      </c>
      <c r="W177" s="8" t="n">
        <v>950</v>
      </c>
      <c r="X177" s="8" t="n">
        <v>6232</v>
      </c>
      <c r="Y177" s="7" t="n">
        <f aca="false">IFERROR(T177/X177*100,"")</f>
        <v>91.6078305519897</v>
      </c>
      <c r="Z177" s="7" t="n">
        <f aca="false">IFERROR(S177/N177*100,"")</f>
        <v>93.75</v>
      </c>
      <c r="AA177" s="7" t="n">
        <f aca="false">IFERROR(T177/(W177*S177/60)*100,"")</f>
        <v>80.1263157894737</v>
      </c>
      <c r="AB177" s="7" t="n">
        <f aca="false">IFERROR(T177/(T177+U177)*100,"")</f>
        <v>97.1248724055801</v>
      </c>
      <c r="AC177" s="7" t="n">
        <f aca="false">IFERROR(Z177*AA177*AB177/10000,"")</f>
        <v>72.9586706004549</v>
      </c>
      <c r="AD177" s="6"/>
    </row>
    <row r="178" customFormat="false" ht="15" hidden="false" customHeight="false" outlineLevel="0" collapsed="false">
      <c r="A178" s="3" t="s">
        <v>242</v>
      </c>
      <c r="B178" s="3" t="s">
        <v>58</v>
      </c>
      <c r="C178" s="3" t="s">
        <v>32</v>
      </c>
      <c r="D178" s="3" t="s">
        <v>60</v>
      </c>
      <c r="E178" s="3" t="s">
        <v>51</v>
      </c>
      <c r="F178" s="3" t="s">
        <v>52</v>
      </c>
      <c r="G178" s="3" t="s">
        <v>274</v>
      </c>
      <c r="H178" s="3" t="s">
        <v>62</v>
      </c>
      <c r="I178" s="3"/>
      <c r="J178" s="3" t="s">
        <v>55</v>
      </c>
      <c r="K178" s="3" t="s">
        <v>56</v>
      </c>
      <c r="L178" s="3" t="s">
        <v>42</v>
      </c>
      <c r="M178" s="3" t="s">
        <v>63</v>
      </c>
      <c r="N178" s="4" t="n">
        <f aca="false">IFERROR(MOD(TIMEVALUE(M178)-TIMEVALUE(L178),1)*1440,"")</f>
        <v>480</v>
      </c>
      <c r="O178" s="5" t="n">
        <v>45</v>
      </c>
      <c r="P178" s="5" t="n">
        <v>75</v>
      </c>
      <c r="Q178" s="3" t="s">
        <v>97</v>
      </c>
      <c r="R178" s="3" t="s">
        <v>44</v>
      </c>
      <c r="S178" s="4" t="n">
        <f aca="false">IFERROR(N178-N(O178)-N(P178),"")</f>
        <v>360</v>
      </c>
      <c r="T178" s="5" t="n">
        <v>6937</v>
      </c>
      <c r="U178" s="5" t="n">
        <v>79</v>
      </c>
      <c r="V178" s="3" t="s">
        <v>45</v>
      </c>
      <c r="W178" s="5" t="n">
        <v>1200</v>
      </c>
      <c r="X178" s="5" t="n">
        <v>7871</v>
      </c>
      <c r="Y178" s="4" t="n">
        <f aca="false">IFERROR(T178/X178*100,"")</f>
        <v>88.1336551899377</v>
      </c>
      <c r="Z178" s="4" t="n">
        <f aca="false">IFERROR(S178/N178*100,"")</f>
        <v>75</v>
      </c>
      <c r="AA178" s="4" t="n">
        <f aca="false">IFERROR(T178/(W178*S178/60)*100,"")</f>
        <v>96.3472222222222</v>
      </c>
      <c r="AB178" s="4" t="n">
        <f aca="false">IFERROR(T178/(T178+U178)*100,"")</f>
        <v>98.8740022805017</v>
      </c>
      <c r="AC178" s="4" t="n">
        <f aca="false">IFERROR(Z178*AA178*AB178/10000,"")</f>
        <v>71.4467660229</v>
      </c>
      <c r="AD178" s="3"/>
    </row>
    <row r="179" customFormat="false" ht="15" hidden="false" customHeight="false" outlineLevel="0" collapsed="false">
      <c r="A179" s="6" t="s">
        <v>242</v>
      </c>
      <c r="B179" s="6" t="s">
        <v>69</v>
      </c>
      <c r="C179" s="6" t="s">
        <v>32</v>
      </c>
      <c r="D179" s="6" t="s">
        <v>71</v>
      </c>
      <c r="E179" s="6" t="s">
        <v>34</v>
      </c>
      <c r="F179" s="6" t="s">
        <v>35</v>
      </c>
      <c r="G179" s="6" t="s">
        <v>275</v>
      </c>
      <c r="H179" s="6" t="s">
        <v>62</v>
      </c>
      <c r="I179" s="6"/>
      <c r="J179" s="6" t="s">
        <v>39</v>
      </c>
      <c r="K179" s="6" t="s">
        <v>40</v>
      </c>
      <c r="L179" s="6" t="s">
        <v>63</v>
      </c>
      <c r="M179" s="6" t="s">
        <v>41</v>
      </c>
      <c r="N179" s="7" t="n">
        <f aca="false">IFERROR(MOD(TIMEVALUE(M179)-TIMEVALUE(L179),1)*1440,"")</f>
        <v>480</v>
      </c>
      <c r="O179" s="8" t="n">
        <v>30</v>
      </c>
      <c r="P179" s="8" t="n">
        <v>45</v>
      </c>
      <c r="Q179" s="6" t="s">
        <v>97</v>
      </c>
      <c r="R179" s="6" t="s">
        <v>44</v>
      </c>
      <c r="S179" s="7" t="n">
        <f aca="false">IFERROR(N179-N(O179)-N(P179),"")</f>
        <v>405</v>
      </c>
      <c r="T179" s="8" t="n">
        <v>5424</v>
      </c>
      <c r="U179" s="8" t="n">
        <v>63</v>
      </c>
      <c r="V179" s="6" t="s">
        <v>45</v>
      </c>
      <c r="W179" s="8" t="n">
        <v>950</v>
      </c>
      <c r="X179" s="8" t="n">
        <v>6232</v>
      </c>
      <c r="Y179" s="7" t="n">
        <f aca="false">IFERROR(T179/X179*100,"")</f>
        <v>87.0346598202824</v>
      </c>
      <c r="Z179" s="7" t="n">
        <f aca="false">IFERROR(S179/N179*100,"")</f>
        <v>84.375</v>
      </c>
      <c r="AA179" s="7" t="n">
        <f aca="false">IFERROR(T179/(W179*S179/60)*100,"")</f>
        <v>84.5847953216374</v>
      </c>
      <c r="AB179" s="7" t="n">
        <f aca="false">IFERROR(T179/(T179+U179)*100,"")</f>
        <v>98.8518316019683</v>
      </c>
      <c r="AC179" s="7" t="n">
        <f aca="false">IFERROR(Z179*AA179*AB179/10000,"")</f>
        <v>70.548991395931</v>
      </c>
      <c r="AD179" s="6"/>
    </row>
    <row r="180" customFormat="false" ht="15" hidden="false" customHeight="false" outlineLevel="0" collapsed="false">
      <c r="A180" s="3" t="s">
        <v>242</v>
      </c>
      <c r="B180" s="3" t="s">
        <v>69</v>
      </c>
      <c r="C180" s="3" t="s">
        <v>59</v>
      </c>
      <c r="D180" s="3" t="s">
        <v>71</v>
      </c>
      <c r="E180" s="3" t="s">
        <v>46</v>
      </c>
      <c r="F180" s="3" t="s">
        <v>35</v>
      </c>
      <c r="G180" s="3" t="s">
        <v>276</v>
      </c>
      <c r="H180" s="3" t="s">
        <v>62</v>
      </c>
      <c r="I180" s="3"/>
      <c r="J180" s="3" t="s">
        <v>55</v>
      </c>
      <c r="K180" s="3" t="s">
        <v>56</v>
      </c>
      <c r="L180" s="3" t="s">
        <v>63</v>
      </c>
      <c r="M180" s="3" t="s">
        <v>41</v>
      </c>
      <c r="N180" s="4" t="n">
        <f aca="false">IFERROR(MOD(TIMEVALUE(M180)-TIMEVALUE(L180),1)*1440,"")</f>
        <v>480</v>
      </c>
      <c r="O180" s="5" t="n">
        <v>30</v>
      </c>
      <c r="P180" s="5" t="n">
        <v>20</v>
      </c>
      <c r="Q180" s="3" t="s">
        <v>95</v>
      </c>
      <c r="R180" s="3" t="s">
        <v>50</v>
      </c>
      <c r="S180" s="4" t="n">
        <f aca="false">IFERROR(N180-N(O180)-N(P180),"")</f>
        <v>430</v>
      </c>
      <c r="T180" s="5" t="n">
        <v>7560</v>
      </c>
      <c r="U180" s="5" t="n">
        <v>185</v>
      </c>
      <c r="V180" s="3" t="s">
        <v>45</v>
      </c>
      <c r="W180" s="5" t="n">
        <v>1200</v>
      </c>
      <c r="X180" s="5" t="n">
        <v>7871</v>
      </c>
      <c r="Y180" s="4" t="n">
        <f aca="false">IFERROR(T180/X180*100,"")</f>
        <v>96.0487866853005</v>
      </c>
      <c r="Z180" s="4" t="n">
        <f aca="false">IFERROR(S180/N180*100,"")</f>
        <v>89.5833333333333</v>
      </c>
      <c r="AA180" s="4" t="n">
        <f aca="false">IFERROR(T180/(W180*S180/60)*100,"")</f>
        <v>87.906976744186</v>
      </c>
      <c r="AB180" s="4" t="n">
        <f aca="false">IFERROR(T180/(T180+U180)*100,"")</f>
        <v>97.6113621691414</v>
      </c>
      <c r="AC180" s="4" t="n">
        <f aca="false">IFERROR(Z180*AA180*AB180/10000,"")</f>
        <v>76.8689477081988</v>
      </c>
      <c r="AD180" s="3"/>
    </row>
    <row r="181" customFormat="false" ht="15" hidden="false" customHeight="false" outlineLevel="0" collapsed="false">
      <c r="A181" s="6" t="s">
        <v>242</v>
      </c>
      <c r="B181" s="6" t="s">
        <v>69</v>
      </c>
      <c r="C181" s="6" t="s">
        <v>70</v>
      </c>
      <c r="D181" s="6" t="s">
        <v>71</v>
      </c>
      <c r="E181" s="6" t="s">
        <v>51</v>
      </c>
      <c r="F181" s="6" t="s">
        <v>52</v>
      </c>
      <c r="G181" s="6" t="s">
        <v>277</v>
      </c>
      <c r="H181" s="6" t="s">
        <v>62</v>
      </c>
      <c r="I181" s="6"/>
      <c r="J181" s="6" t="s">
        <v>65</v>
      </c>
      <c r="K181" s="6" t="s">
        <v>66</v>
      </c>
      <c r="L181" s="6" t="s">
        <v>63</v>
      </c>
      <c r="M181" s="6" t="s">
        <v>41</v>
      </c>
      <c r="N181" s="7" t="n">
        <f aca="false">IFERROR(MOD(TIMEVALUE(M181)-TIMEVALUE(L181),1)*1440,"")</f>
        <v>480</v>
      </c>
      <c r="O181" s="8" t="n">
        <v>0</v>
      </c>
      <c r="P181" s="8" t="n">
        <v>60</v>
      </c>
      <c r="Q181" s="6" t="s">
        <v>95</v>
      </c>
      <c r="R181" s="6" t="s">
        <v>50</v>
      </c>
      <c r="S181" s="7" t="n">
        <f aca="false">IFERROR(N181-N(O181)-N(P181),"")</f>
        <v>420</v>
      </c>
      <c r="T181" s="8" t="n">
        <v>8031</v>
      </c>
      <c r="U181" s="8" t="n">
        <v>81</v>
      </c>
      <c r="V181" s="6" t="s">
        <v>45</v>
      </c>
      <c r="W181" s="8" t="n">
        <v>1400</v>
      </c>
      <c r="X181" s="8" t="n">
        <v>9184</v>
      </c>
      <c r="Y181" s="7" t="n">
        <f aca="false">IFERROR(T181/X181*100,"")</f>
        <v>87.4455574912892</v>
      </c>
      <c r="Z181" s="7" t="n">
        <f aca="false">IFERROR(S181/N181*100,"")</f>
        <v>87.5</v>
      </c>
      <c r="AA181" s="7" t="n">
        <f aca="false">IFERROR(T181/(W181*S181/60)*100,"")</f>
        <v>81.9489795918367</v>
      </c>
      <c r="AB181" s="7" t="n">
        <f aca="false">IFERROR(T181/(T181+U181)*100,"")</f>
        <v>99.0014792899408</v>
      </c>
      <c r="AC181" s="7" t="n">
        <f aca="false">IFERROR(Z181*AA181*AB181/10000,"")</f>
        <v>70.9893643015638</v>
      </c>
      <c r="AD181" s="6"/>
    </row>
  </sheetData>
  <autoFilter ref="A1:AD181"/>
  <dataValidations count="5">
    <dataValidation allowBlank="true" error="Valor fuera del catálogo. Elegí una opción de la lista." errorStyle="stop" errorTitle="Fuera de catálogo" operator="between" showDropDown="false" showErrorMessage="false" showInputMessage="false" sqref="B2:B181" type="list">
      <formula1>"Mañana,Tarde,Noche"</formula1>
      <formula2>0</formula2>
    </dataValidation>
    <dataValidation allowBlank="true" error="Valor fuera del catálogo. Elegí una opción de la lista." errorStyle="stop" errorTitle="Fuera de catálogo" operator="between" showDropDown="false" showErrorMessage="false" showInputMessage="false" sqref="R2:R181" type="list">
      <formula1>"Planificada,No Planificada"</formula1>
      <formula2>0</formula2>
    </dataValidation>
    <dataValidation allowBlank="true" error="Valor fuera del catálogo. Elegí una opción de la lista." errorStyle="stop" errorTitle="Fuera de catálogo" operator="between" showDropDown="false" showErrorMessage="false" showInputMessage="false" sqref="H2:H181" type="list">
      <formula1>"Abierto,Cerrado"</formula1>
      <formula2>0</formula2>
    </dataValidation>
    <dataValidation allowBlank="true" error="Valor fuera del catálogo. Elegí una opción de la lista." errorStyle="stop" errorTitle="Fuera de catálogo" operator="between" showDropDown="false" showErrorMessage="false" showInputMessage="false" sqref="V2:V181" type="list">
      <formula1>"metros,kg,unidades,litros"</formula1>
      <formula2>0</formula2>
    </dataValidation>
    <dataValidation allowBlank="true" error="Valor fuera del catálogo. Elegí una opción de la lista." errorStyle="stop" errorTitle="Fuera de catálogo" operator="between" showDropDown="false" showErrorMessage="false" showInputMessage="false" sqref="Q2:Q181" type="list">
      <formula1>"Cambio de formato,Falla mecanica,Falla electrica,Falta de insumo,Ajuste de calidad,Mantenimiento programado,Otros"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72"/>
  </cols>
  <sheetData>
    <row r="1" customFormat="false" ht="16.15" hidden="false" customHeight="false" outlineLevel="0" collapsed="false">
      <c r="A1" s="9" t="s">
        <v>278</v>
      </c>
    </row>
    <row r="3" customFormat="false" ht="15" hidden="false" customHeight="false" outlineLevel="0" collapsed="false">
      <c r="A3" s="10" t="s">
        <v>279</v>
      </c>
      <c r="B3" s="10"/>
      <c r="C3" s="10"/>
      <c r="D3" s="10"/>
    </row>
    <row r="4" customFormat="false" ht="15" hidden="false" customHeight="false" outlineLevel="0" collapsed="false">
      <c r="A4" s="10" t="s">
        <v>280</v>
      </c>
      <c r="B4" s="10"/>
      <c r="C4" s="10"/>
      <c r="D4" s="10"/>
    </row>
    <row r="5" customFormat="false" ht="15" hidden="false" customHeight="false" outlineLevel="0" collapsed="false">
      <c r="A5" s="10" t="s">
        <v>281</v>
      </c>
      <c r="B5" s="10"/>
      <c r="C5" s="10"/>
      <c r="D5" s="10"/>
    </row>
    <row r="6" customFormat="false" ht="15" hidden="false" customHeight="false" outlineLevel="0" collapsed="false">
      <c r="A6" s="10" t="s">
        <v>282</v>
      </c>
      <c r="B6" s="10"/>
      <c r="C6" s="10"/>
      <c r="D6" s="10"/>
    </row>
    <row r="7" customFormat="false" ht="15" hidden="false" customHeight="false" outlineLevel="0" collapsed="false">
      <c r="A7" s="10" t="s">
        <v>283</v>
      </c>
      <c r="B7" s="10"/>
      <c r="C7" s="10"/>
      <c r="D7" s="10"/>
    </row>
    <row r="8" customFormat="false" ht="15" hidden="false" customHeight="false" outlineLevel="0" collapsed="false">
      <c r="A8" s="10" t="s">
        <v>284</v>
      </c>
      <c r="B8" s="10"/>
      <c r="C8" s="10"/>
      <c r="D8" s="10"/>
    </row>
    <row r="9" customFormat="false" ht="15" hidden="false" customHeight="false" outlineLevel="0" collapsed="false">
      <c r="A9" s="10" t="s">
        <v>285</v>
      </c>
      <c r="B9" s="10"/>
      <c r="C9" s="10"/>
      <c r="D9" s="10"/>
    </row>
    <row r="12" customFormat="false" ht="15" hidden="false" customHeight="false" outlineLevel="0" collapsed="false">
      <c r="A12" s="11" t="s">
        <v>286</v>
      </c>
    </row>
    <row r="13" customFormat="false" ht="15" hidden="false" customHeight="false" outlineLevel="0" collapsed="false">
      <c r="A13" s="12" t="s">
        <v>287</v>
      </c>
      <c r="B13" s="12" t="s">
        <v>288</v>
      </c>
      <c r="C13" s="12" t="s">
        <v>289</v>
      </c>
      <c r="D13" s="12" t="s">
        <v>290</v>
      </c>
    </row>
    <row r="14" customFormat="false" ht="15" hidden="false" customHeight="false" outlineLevel="0" collapsed="false">
      <c r="A14" s="13" t="s">
        <v>0</v>
      </c>
      <c r="B14" s="13" t="s">
        <v>0</v>
      </c>
      <c r="C14" s="13" t="s">
        <v>291</v>
      </c>
      <c r="D14" s="14" t="s">
        <v>292</v>
      </c>
    </row>
    <row r="15" customFormat="false" ht="15" hidden="false" customHeight="false" outlineLevel="0" collapsed="false">
      <c r="A15" s="15" t="s">
        <v>1</v>
      </c>
      <c r="B15" s="15" t="s">
        <v>293</v>
      </c>
      <c r="C15" s="15" t="s">
        <v>291</v>
      </c>
      <c r="D15" s="16" t="s">
        <v>294</v>
      </c>
    </row>
    <row r="16" customFormat="false" ht="15" hidden="false" customHeight="false" outlineLevel="0" collapsed="false">
      <c r="A16" s="13" t="s">
        <v>2</v>
      </c>
      <c r="B16" s="13" t="s">
        <v>295</v>
      </c>
      <c r="C16" s="13" t="s">
        <v>291</v>
      </c>
      <c r="D16" s="14" t="s">
        <v>296</v>
      </c>
    </row>
    <row r="17" customFormat="false" ht="15" hidden="false" customHeight="false" outlineLevel="0" collapsed="false">
      <c r="A17" s="15" t="s">
        <v>3</v>
      </c>
      <c r="B17" s="15" t="s">
        <v>295</v>
      </c>
      <c r="C17" s="15" t="s">
        <v>297</v>
      </c>
      <c r="D17" s="16" t="s">
        <v>298</v>
      </c>
    </row>
    <row r="18" customFormat="false" ht="15" hidden="false" customHeight="false" outlineLevel="0" collapsed="false">
      <c r="A18" s="13" t="s">
        <v>4</v>
      </c>
      <c r="B18" s="13" t="s">
        <v>299</v>
      </c>
      <c r="C18" s="13" t="s">
        <v>291</v>
      </c>
      <c r="D18" s="14" t="s">
        <v>300</v>
      </c>
    </row>
    <row r="19" customFormat="false" ht="15" hidden="false" customHeight="false" outlineLevel="0" collapsed="false">
      <c r="A19" s="15" t="s">
        <v>5</v>
      </c>
      <c r="B19" s="15" t="s">
        <v>295</v>
      </c>
      <c r="C19" s="15" t="s">
        <v>297</v>
      </c>
      <c r="D19" s="16" t="s">
        <v>301</v>
      </c>
    </row>
    <row r="20" customFormat="false" ht="15" hidden="false" customHeight="false" outlineLevel="0" collapsed="false">
      <c r="A20" s="13" t="s">
        <v>6</v>
      </c>
      <c r="B20" s="13" t="s">
        <v>299</v>
      </c>
      <c r="C20" s="13" t="s">
        <v>291</v>
      </c>
      <c r="D20" s="14" t="s">
        <v>302</v>
      </c>
    </row>
    <row r="21" customFormat="false" ht="15" hidden="false" customHeight="false" outlineLevel="0" collapsed="false">
      <c r="A21" s="15" t="s">
        <v>7</v>
      </c>
      <c r="B21" s="15" t="s">
        <v>293</v>
      </c>
      <c r="C21" s="15" t="s">
        <v>291</v>
      </c>
      <c r="D21" s="16" t="s">
        <v>303</v>
      </c>
    </row>
    <row r="22" customFormat="false" ht="15" hidden="false" customHeight="false" outlineLevel="0" collapsed="false">
      <c r="A22" s="13" t="s">
        <v>8</v>
      </c>
      <c r="B22" s="13" t="s">
        <v>0</v>
      </c>
      <c r="C22" s="13" t="s">
        <v>304</v>
      </c>
      <c r="D22" s="14" t="s">
        <v>305</v>
      </c>
    </row>
    <row r="23" customFormat="false" ht="15" hidden="false" customHeight="false" outlineLevel="0" collapsed="false">
      <c r="A23" s="15" t="s">
        <v>9</v>
      </c>
      <c r="B23" s="15" t="s">
        <v>299</v>
      </c>
      <c r="C23" s="15" t="s">
        <v>291</v>
      </c>
      <c r="D23" s="16" t="s">
        <v>306</v>
      </c>
    </row>
    <row r="24" customFormat="false" ht="15" hidden="false" customHeight="false" outlineLevel="0" collapsed="false">
      <c r="A24" s="13" t="s">
        <v>10</v>
      </c>
      <c r="B24" s="13" t="s">
        <v>295</v>
      </c>
      <c r="C24" s="13" t="s">
        <v>297</v>
      </c>
      <c r="D24" s="14" t="s">
        <v>307</v>
      </c>
    </row>
    <row r="25" customFormat="false" ht="15" hidden="false" customHeight="false" outlineLevel="0" collapsed="false">
      <c r="A25" s="15" t="s">
        <v>11</v>
      </c>
      <c r="B25" s="15" t="s">
        <v>308</v>
      </c>
      <c r="C25" s="15" t="s">
        <v>291</v>
      </c>
      <c r="D25" s="16" t="s">
        <v>309</v>
      </c>
    </row>
    <row r="26" customFormat="false" ht="15" hidden="false" customHeight="false" outlineLevel="0" collapsed="false">
      <c r="A26" s="13" t="s">
        <v>12</v>
      </c>
      <c r="B26" s="13" t="s">
        <v>308</v>
      </c>
      <c r="C26" s="13" t="s">
        <v>291</v>
      </c>
      <c r="D26" s="14" t="s">
        <v>310</v>
      </c>
    </row>
    <row r="27" customFormat="false" ht="15" hidden="false" customHeight="false" outlineLevel="0" collapsed="false">
      <c r="A27" s="15" t="s">
        <v>13</v>
      </c>
      <c r="B27" s="15" t="s">
        <v>311</v>
      </c>
      <c r="C27" s="15" t="s">
        <v>312</v>
      </c>
      <c r="D27" s="16" t="s">
        <v>313</v>
      </c>
    </row>
    <row r="28" customFormat="false" ht="15" hidden="false" customHeight="false" outlineLevel="0" collapsed="false">
      <c r="A28" s="13" t="s">
        <v>14</v>
      </c>
      <c r="B28" s="13" t="s">
        <v>314</v>
      </c>
      <c r="C28" s="13" t="s">
        <v>297</v>
      </c>
      <c r="D28" s="14" t="s">
        <v>315</v>
      </c>
    </row>
    <row r="29" customFormat="false" ht="15" hidden="false" customHeight="false" outlineLevel="0" collapsed="false">
      <c r="A29" s="15" t="s">
        <v>15</v>
      </c>
      <c r="B29" s="15" t="s">
        <v>314</v>
      </c>
      <c r="C29" s="15" t="s">
        <v>291</v>
      </c>
      <c r="D29" s="16" t="s">
        <v>316</v>
      </c>
    </row>
    <row r="30" customFormat="false" ht="15" hidden="false" customHeight="false" outlineLevel="0" collapsed="false">
      <c r="A30" s="13" t="s">
        <v>16</v>
      </c>
      <c r="B30" s="13" t="s">
        <v>293</v>
      </c>
      <c r="C30" s="13" t="s">
        <v>304</v>
      </c>
      <c r="D30" s="14" t="s">
        <v>317</v>
      </c>
    </row>
    <row r="31" customFormat="false" ht="15" hidden="false" customHeight="false" outlineLevel="0" collapsed="false">
      <c r="A31" s="15" t="s">
        <v>17</v>
      </c>
      <c r="B31" s="15" t="s">
        <v>293</v>
      </c>
      <c r="C31" s="15" t="s">
        <v>304</v>
      </c>
      <c r="D31" s="16" t="s">
        <v>318</v>
      </c>
    </row>
    <row r="32" customFormat="false" ht="15" hidden="false" customHeight="false" outlineLevel="0" collapsed="false">
      <c r="A32" s="13" t="s">
        <v>18</v>
      </c>
      <c r="B32" s="13" t="s">
        <v>311</v>
      </c>
      <c r="C32" s="13" t="s">
        <v>312</v>
      </c>
      <c r="D32" s="14" t="s">
        <v>319</v>
      </c>
    </row>
    <row r="33" customFormat="false" ht="15" hidden="false" customHeight="false" outlineLevel="0" collapsed="false">
      <c r="A33" s="15" t="s">
        <v>19</v>
      </c>
      <c r="B33" s="15" t="s">
        <v>314</v>
      </c>
      <c r="C33" s="15" t="s">
        <v>291</v>
      </c>
      <c r="D33" s="16" t="s">
        <v>320</v>
      </c>
    </row>
    <row r="34" customFormat="false" ht="15" hidden="false" customHeight="false" outlineLevel="0" collapsed="false">
      <c r="A34" s="13" t="s">
        <v>20</v>
      </c>
      <c r="B34" s="13" t="s">
        <v>314</v>
      </c>
      <c r="C34" s="13" t="s">
        <v>291</v>
      </c>
      <c r="D34" s="14" t="s">
        <v>321</v>
      </c>
    </row>
    <row r="35" customFormat="false" ht="15" hidden="false" customHeight="false" outlineLevel="0" collapsed="false">
      <c r="A35" s="15" t="s">
        <v>21</v>
      </c>
      <c r="B35" s="15" t="s">
        <v>293</v>
      </c>
      <c r="C35" s="15" t="s">
        <v>291</v>
      </c>
      <c r="D35" s="16" t="s">
        <v>322</v>
      </c>
    </row>
    <row r="36" customFormat="false" ht="15" hidden="false" customHeight="false" outlineLevel="0" collapsed="false">
      <c r="A36" s="13" t="s">
        <v>22</v>
      </c>
      <c r="B36" s="13" t="s">
        <v>314</v>
      </c>
      <c r="C36" s="13" t="s">
        <v>297</v>
      </c>
      <c r="D36" s="14" t="s">
        <v>323</v>
      </c>
    </row>
    <row r="37" customFormat="false" ht="15" hidden="false" customHeight="false" outlineLevel="0" collapsed="false">
      <c r="A37" s="15" t="s">
        <v>23</v>
      </c>
      <c r="B37" s="15" t="s">
        <v>314</v>
      </c>
      <c r="C37" s="15" t="s">
        <v>297</v>
      </c>
      <c r="D37" s="16" t="s">
        <v>324</v>
      </c>
    </row>
    <row r="38" customFormat="false" ht="15" hidden="false" customHeight="false" outlineLevel="0" collapsed="false">
      <c r="A38" s="13" t="s">
        <v>24</v>
      </c>
      <c r="B38" s="13" t="s">
        <v>311</v>
      </c>
      <c r="C38" s="13" t="s">
        <v>312</v>
      </c>
      <c r="D38" s="14" t="s">
        <v>325</v>
      </c>
    </row>
    <row r="39" customFormat="false" ht="15" hidden="false" customHeight="false" outlineLevel="0" collapsed="false">
      <c r="A39" s="15" t="s">
        <v>25</v>
      </c>
      <c r="B39" s="15" t="s">
        <v>311</v>
      </c>
      <c r="C39" s="15" t="s">
        <v>312</v>
      </c>
      <c r="D39" s="16" t="s">
        <v>326</v>
      </c>
    </row>
    <row r="40" customFormat="false" ht="15" hidden="false" customHeight="false" outlineLevel="0" collapsed="false">
      <c r="A40" s="13" t="s">
        <v>26</v>
      </c>
      <c r="B40" s="13" t="s">
        <v>311</v>
      </c>
      <c r="C40" s="13" t="s">
        <v>312</v>
      </c>
      <c r="D40" s="14" t="s">
        <v>327</v>
      </c>
    </row>
    <row r="41" customFormat="false" ht="15" hidden="false" customHeight="false" outlineLevel="0" collapsed="false">
      <c r="A41" s="15" t="s">
        <v>27</v>
      </c>
      <c r="B41" s="15" t="s">
        <v>311</v>
      </c>
      <c r="C41" s="15" t="s">
        <v>312</v>
      </c>
      <c r="D41" s="16" t="s">
        <v>328</v>
      </c>
    </row>
    <row r="42" customFormat="false" ht="15" hidden="false" customHeight="false" outlineLevel="0" collapsed="false">
      <c r="A42" s="13" t="s">
        <v>28</v>
      </c>
      <c r="B42" s="13" t="s">
        <v>311</v>
      </c>
      <c r="C42" s="13" t="s">
        <v>312</v>
      </c>
      <c r="D42" s="14" t="s">
        <v>329</v>
      </c>
    </row>
    <row r="43" customFormat="false" ht="15" hidden="false" customHeight="false" outlineLevel="0" collapsed="false">
      <c r="A43" s="15" t="s">
        <v>29</v>
      </c>
      <c r="B43" s="15" t="s">
        <v>295</v>
      </c>
      <c r="C43" s="15" t="s">
        <v>297</v>
      </c>
      <c r="D43" s="16" t="s">
        <v>330</v>
      </c>
    </row>
  </sheetData>
  <mergeCells count="7">
    <mergeCell ref="A3:D3"/>
    <mergeCell ref="A4:D4"/>
    <mergeCell ref="A5:D5"/>
    <mergeCell ref="A6:D6"/>
    <mergeCell ref="A7:D7"/>
    <mergeCell ref="A8:D8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2026-08-27T18:11:04Z</dcterms:created>
  <dc:creator>openpyxl</dc:creator>
  <dc:description/>
  <dc:language>en-US</dc:language>
  <cp:lastModifiedBy/>
  <dcterms:modified xsi:type="dcterms:W3CDTF">2026-08-27T18:11:04Z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